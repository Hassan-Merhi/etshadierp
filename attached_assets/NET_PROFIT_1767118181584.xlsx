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ras.HASSAN\OneDrive - University of the People\Desktop\"/>
    </mc:Choice>
  </mc:AlternateContent>
  <xr:revisionPtr revIDLastSave="0" documentId="13_ncr:1_{3B099E55-DF10-4521-A868-0E523B4C4D4B}" xr6:coauthVersionLast="47" xr6:coauthVersionMax="47" xr10:uidLastSave="{00000000-0000-0000-0000-000000000000}"/>
  <bookViews>
    <workbookView xWindow="-110" yWindow="-110" windowWidth="19420" windowHeight="10300" xr2:uid="{075F60D9-C237-4BC5-8F39-821AE940A9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C22" i="1"/>
  <c r="B22" i="1"/>
  <c r="B23" i="1" s="1"/>
  <c r="B25" i="1" l="1"/>
  <c r="B27" i="1" s="1"/>
</calcChain>
</file>

<file path=xl/sharedStrings.xml><?xml version="1.0" encoding="utf-8"?>
<sst xmlns="http://schemas.openxmlformats.org/spreadsheetml/2006/main" count="22" uniqueCount="21">
  <si>
    <t>STOCK IN HAND</t>
  </si>
  <si>
    <t>STOCK OTW</t>
  </si>
  <si>
    <t>NET PROFIT</t>
  </si>
  <si>
    <t>CASH IN HAND</t>
  </si>
  <si>
    <t>TALLY NET PROFIT</t>
  </si>
  <si>
    <t>DIFF</t>
  </si>
  <si>
    <t>SALARY EXP</t>
  </si>
  <si>
    <t>IS ON TALLY SHEET BALANCE</t>
  </si>
  <si>
    <t>KIN 1 Guarantee</t>
  </si>
  <si>
    <t>KIN 2 Guarantee</t>
  </si>
  <si>
    <t>HOUSE Guarantee</t>
  </si>
  <si>
    <t>HUSSEIN SAAD - loans</t>
  </si>
  <si>
    <t>LICENSE - loans</t>
  </si>
  <si>
    <t>MOHAMED ELALI - employee</t>
  </si>
  <si>
    <t>MOUSA SWEID - emploee</t>
  </si>
  <si>
    <t>LSHI CREDIT - loan</t>
  </si>
  <si>
    <t>TSHIKAPA - customer sales acc tey owe me money I osld them the stock</t>
  </si>
  <si>
    <t>SAVING KIN - loan/bank acc</t>
  </si>
  <si>
    <t>MOHJAMED SHBIB - employee</t>
  </si>
  <si>
    <t>DR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</si>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</sst>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9DFE-46FB-4840-9948-C629AECD782A}">
  <dimension ref="A1:E27"/>
  <sheetViews>
    <sheetView tabSelected="1" topLeftCell="A12" workbookViewId="0">
      <selection activeCell="B2" sqref="B2"/>
    </sheetView>
  </sheetViews>
  <sheetFormatPr defaultRowHeight="14.5" x14ac:dyDescent="0.35"/>
  <cols>
    <col min="1" max="1" width="18.81640625" bestFit="1" customWidth="1"/>
    <col min="2" max="2" width="12.36328125" style="1" bestFit="1" customWidth="1"/>
    <col min="3" max="3" width="10.36328125" bestFit="1" customWidth="1"/>
    <col min="5" max="5" width="24.36328125" bestFit="1" customWidth="1"/>
  </cols>
  <sheetData>
    <row r="1" spans="1:3" x14ac:dyDescent="0.35">
      <c r="B1" s="1" t="s">
        <v>19</v>
      </c>
      <c r="C1" t="s">
        <v>20</v>
      </c>
    </row>
    <row r="2" spans="1:3" x14ac:dyDescent="0.35">
      <c r="A2" t="s">
        <v>0</v>
      </c>
      <c r="B2" s="1">
        <v>530058.97</v>
      </c>
    </row>
    <row r="3" spans="1:3" x14ac:dyDescent="0.35">
      <c r="A3" t="s">
        <v>1</v>
      </c>
      <c r="B3" s="1">
        <v>801265.47</v>
      </c>
    </row>
    <row r="4" spans="1:3" x14ac:dyDescent="0.35">
      <c r="A4" t="s">
        <v>3</v>
      </c>
      <c r="B4" s="1">
        <v>8765.34</v>
      </c>
    </row>
    <row r="5" spans="1:3" x14ac:dyDescent="0.35">
      <c r="A5" t="s">
        <v>17</v>
      </c>
      <c r="C5" s="1">
        <v>14000</v>
      </c>
    </row>
    <row r="6" spans="1:3" x14ac:dyDescent="0.35">
      <c r="A6" t="s">
        <v>18</v>
      </c>
      <c r="C6" s="1">
        <v>15350</v>
      </c>
    </row>
    <row r="7" spans="1:3" x14ac:dyDescent="0.35">
      <c r="A7" t="s">
        <v>13</v>
      </c>
      <c r="C7" s="1">
        <v>4778</v>
      </c>
    </row>
    <row r="8" spans="1:3" x14ac:dyDescent="0.35">
      <c r="A8" t="s">
        <v>14</v>
      </c>
      <c r="C8" s="1">
        <v>1641.25</v>
      </c>
    </row>
    <row r="9" spans="1:3" x14ac:dyDescent="0.35">
      <c r="A9" t="s">
        <v>15</v>
      </c>
      <c r="C9" s="1">
        <v>1030066.14</v>
      </c>
    </row>
    <row r="10" spans="1:3" x14ac:dyDescent="0.35">
      <c r="A10" t="s">
        <v>16</v>
      </c>
      <c r="B10" s="1">
        <v>66280</v>
      </c>
    </row>
    <row r="11" spans="1:3" x14ac:dyDescent="0.35">
      <c r="A11" t="s">
        <v>8</v>
      </c>
      <c r="B11" s="1">
        <f>4400*6</f>
        <v>26400</v>
      </c>
    </row>
    <row r="12" spans="1:3" x14ac:dyDescent="0.35">
      <c r="A12" t="s">
        <v>9</v>
      </c>
      <c r="B12" s="1">
        <v>39600</v>
      </c>
    </row>
    <row r="13" spans="1:3" x14ac:dyDescent="0.35">
      <c r="A13" t="s">
        <v>10</v>
      </c>
      <c r="B13" s="1">
        <v>7500</v>
      </c>
    </row>
    <row r="14" spans="1:3" x14ac:dyDescent="0.35">
      <c r="A14" t="s">
        <v>11</v>
      </c>
      <c r="B14" s="1">
        <v>2800</v>
      </c>
    </row>
    <row r="15" spans="1:3" x14ac:dyDescent="0.35">
      <c r="A15" t="s">
        <v>12</v>
      </c>
      <c r="B15" s="1">
        <v>26817.94</v>
      </c>
    </row>
    <row r="22" spans="1:5" x14ac:dyDescent="0.35">
      <c r="B22" s="1">
        <f>SUM(B2:B21)</f>
        <v>1509487.72</v>
      </c>
      <c r="C22">
        <f>SUM(C2:C21)*-1</f>
        <v>-1065835.3900000001</v>
      </c>
    </row>
    <row r="23" spans="1:5" x14ac:dyDescent="0.35">
      <c r="A23" t="s">
        <v>2</v>
      </c>
      <c r="B23" s="3">
        <f>SUM(B22:C22)</f>
        <v>443652.32999999984</v>
      </c>
      <c r="C23" s="4"/>
      <c r="D23" s="2">
        <v>443652.33</v>
      </c>
      <c r="E23" s="2" t="s">
        <v>7</v>
      </c>
    </row>
    <row r="24" spans="1:5" x14ac:dyDescent="0.35">
      <c r="A24" t="s">
        <v>4</v>
      </c>
      <c r="B24" s="4">
        <v>462986.83</v>
      </c>
      <c r="C24" s="4"/>
    </row>
    <row r="25" spans="1:5" x14ac:dyDescent="0.35">
      <c r="A25" t="s">
        <v>5</v>
      </c>
      <c r="B25" s="4">
        <f>B24-B23</f>
        <v>19334.500000000175</v>
      </c>
      <c r="C25" s="4"/>
    </row>
    <row r="26" spans="1:5" x14ac:dyDescent="0.35">
      <c r="A26" t="s">
        <v>6</v>
      </c>
      <c r="B26" s="4">
        <v>19165</v>
      </c>
      <c r="C26" s="4"/>
    </row>
    <row r="27" spans="1:5" x14ac:dyDescent="0.35">
      <c r="A27" t="s">
        <v>5</v>
      </c>
      <c r="B27" s="5">
        <f>B25-B26</f>
        <v>169.50000000017462</v>
      </c>
      <c r="C27" s="5"/>
    </row>
  </sheetData>
  <mergeCells count="5">
    <mergeCell ref="B23:C23"/>
    <mergeCell ref="B25:C25"/>
    <mergeCell ref="B24:C24"/>
    <mergeCell ref="B27:C27"/>
    <mergeCell ref="B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Dakik</dc:creator>
  <cp:lastModifiedBy>Hassan Dakik</cp:lastModifiedBy>
  <dcterms:created xsi:type="dcterms:W3CDTF">2025-12-30T09:16:58Z</dcterms:created>
  <dcterms:modified xsi:type="dcterms:W3CDTF">2025-12-30T18:09:22Z</dcterms:modified>
</cp:coreProperties>
</file>