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as.HASSAN\OneDrive - University of the People\Desktop\"/>
    </mc:Choice>
  </mc:AlternateContent>
  <xr:revisionPtr revIDLastSave="0" documentId="13_ncr:1_{D78B4BB6-D870-46B3-AA07-408CD2F13172}" xr6:coauthVersionLast="47" xr6:coauthVersionMax="47" xr10:uidLastSave="{00000000-0000-0000-0000-000000000000}"/>
  <bookViews>
    <workbookView xWindow="-110" yWindow="-110" windowWidth="19420" windowHeight="10300" xr2:uid="{0CDF2B3F-832D-4D31-B60A-3078E22D633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1" l="1"/>
  <c r="I101" i="1"/>
  <c r="I99" i="1"/>
  <c r="F104" i="1"/>
  <c r="I91" i="1"/>
  <c r="I92" i="1" l="1"/>
  <c r="C97" i="1"/>
  <c r="G91" i="1"/>
  <c r="I90" i="1"/>
  <c r="I89" i="1"/>
  <c r="C91" i="1"/>
  <c r="G85" i="1"/>
  <c r="G3" i="1"/>
  <c r="G4" i="1"/>
  <c r="G5" i="1"/>
  <c r="G6" i="1"/>
  <c r="G8" i="1"/>
  <c r="G9" i="1"/>
  <c r="G10" i="1"/>
  <c r="G11" i="1"/>
  <c r="G14" i="1"/>
  <c r="G15" i="1"/>
  <c r="G16" i="1"/>
  <c r="G17" i="1"/>
  <c r="G18" i="1"/>
  <c r="G20" i="1"/>
  <c r="G21" i="1"/>
  <c r="G23" i="1"/>
  <c r="G24" i="1"/>
  <c r="G27" i="1"/>
  <c r="G28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46" i="1"/>
  <c r="G47" i="1"/>
  <c r="G50" i="1"/>
  <c r="G51" i="1"/>
  <c r="G52" i="1"/>
  <c r="G53" i="1"/>
  <c r="G54" i="1"/>
  <c r="G56" i="1"/>
  <c r="G58" i="1"/>
  <c r="G59" i="1"/>
  <c r="G60" i="1"/>
  <c r="G61" i="1"/>
  <c r="G63" i="1"/>
  <c r="G64" i="1"/>
  <c r="G65" i="1"/>
  <c r="G67" i="1"/>
  <c r="G68" i="1"/>
  <c r="G69" i="1"/>
  <c r="G71" i="1"/>
  <c r="G73" i="1"/>
  <c r="G74" i="1"/>
  <c r="G75" i="1"/>
  <c r="G76" i="1"/>
  <c r="G77" i="1"/>
  <c r="G78" i="1"/>
  <c r="G79" i="1"/>
  <c r="G80" i="1"/>
  <c r="G81" i="1"/>
  <c r="G83" i="1"/>
  <c r="G84" i="1"/>
  <c r="G2" i="1"/>
  <c r="E8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2" i="1"/>
</calcChain>
</file>

<file path=xl/sharedStrings.xml><?xml version="1.0" encoding="utf-8"?>
<sst xmlns="http://schemas.openxmlformats.org/spreadsheetml/2006/main" count="194" uniqueCount="194">
  <si>
    <t>HS799</t>
  </si>
  <si>
    <t>HS827</t>
  </si>
  <si>
    <t>HS0004</t>
  </si>
  <si>
    <t>HS711</t>
  </si>
  <si>
    <t>HS0010</t>
  </si>
  <si>
    <t>KG</t>
  </si>
  <si>
    <t>HS0115</t>
  </si>
  <si>
    <t>HS0168</t>
  </si>
  <si>
    <t>HS0011</t>
  </si>
  <si>
    <t>HS0014</t>
  </si>
  <si>
    <t>HS0015</t>
  </si>
  <si>
    <t>HS744</t>
  </si>
  <si>
    <t>HS0153</t>
  </si>
  <si>
    <t>HS0155</t>
  </si>
  <si>
    <t>HS0022</t>
  </si>
  <si>
    <t>HS0156</t>
  </si>
  <si>
    <t>HS0025</t>
  </si>
  <si>
    <t>HS782</t>
  </si>
  <si>
    <t>HS0160</t>
  </si>
  <si>
    <t>HS0030</t>
  </si>
  <si>
    <t>HS0510</t>
  </si>
  <si>
    <t>HS739</t>
  </si>
  <si>
    <t>HS0514</t>
  </si>
  <si>
    <t>HS101</t>
  </si>
  <si>
    <t>HS767</t>
  </si>
  <si>
    <t>HS0348</t>
  </si>
  <si>
    <t>HS930</t>
  </si>
  <si>
    <t>HS191</t>
  </si>
  <si>
    <t>HS0263</t>
  </si>
  <si>
    <t>HS0298</t>
  </si>
  <si>
    <t>HS673</t>
  </si>
  <si>
    <t>HS0343</t>
  </si>
  <si>
    <t>HS867</t>
  </si>
  <si>
    <t>HS0339</t>
  </si>
  <si>
    <t>HS0492</t>
  </si>
  <si>
    <t>HS0491</t>
  </si>
  <si>
    <t>HS0347</t>
  </si>
  <si>
    <t>HS0172</t>
  </si>
  <si>
    <t>HS0174</t>
  </si>
  <si>
    <t>HS0081</t>
  </si>
  <si>
    <t>HS892</t>
  </si>
  <si>
    <t>HS890</t>
  </si>
  <si>
    <t>HS742</t>
  </si>
  <si>
    <t>HS719</t>
  </si>
  <si>
    <t>HS762</t>
  </si>
  <si>
    <t>HS714</t>
  </si>
  <si>
    <t>HS0093</t>
  </si>
  <si>
    <t>HS0489</t>
  </si>
  <si>
    <t>HS0178</t>
  </si>
  <si>
    <t>HS715</t>
  </si>
  <si>
    <t>HS780</t>
  </si>
  <si>
    <t>HS704</t>
  </si>
  <si>
    <t>HS850</t>
  </si>
  <si>
    <t>HS0500</t>
  </si>
  <si>
    <t>HS0501</t>
  </si>
  <si>
    <t>HS0538</t>
  </si>
  <si>
    <t>HS0213</t>
  </si>
  <si>
    <t>HS0495</t>
  </si>
  <si>
    <t>HS0496</t>
  </si>
  <si>
    <t>HS0192</t>
  </si>
  <si>
    <t>HS0214</t>
  </si>
  <si>
    <t>HS0108</t>
  </si>
  <si>
    <t>HS0193</t>
  </si>
  <si>
    <t>HS0147</t>
  </si>
  <si>
    <t>HS685</t>
  </si>
  <si>
    <t>HS0191</t>
  </si>
  <si>
    <t>HS851</t>
  </si>
  <si>
    <t>HS0116</t>
  </si>
  <si>
    <t>HS0518</t>
  </si>
  <si>
    <t>HS0519</t>
  </si>
  <si>
    <t>HS0517</t>
  </si>
  <si>
    <t>HS756</t>
  </si>
  <si>
    <t>HS0127</t>
  </si>
  <si>
    <t>HS0340</t>
  </si>
  <si>
    <t>HS0128</t>
  </si>
  <si>
    <t>HS740</t>
  </si>
  <si>
    <t>HS710</t>
  </si>
  <si>
    <t>HS729</t>
  </si>
  <si>
    <t>HS657</t>
  </si>
  <si>
    <t>HS761</t>
  </si>
  <si>
    <t>HS0610</t>
  </si>
  <si>
    <t>HS0142</t>
  </si>
  <si>
    <t>HS0145</t>
  </si>
  <si>
    <t>SH ADULT JOGGER PANT #2 40 KG</t>
  </si>
  <si>
    <t>SH ADULT JOGGER PANT 40 KG</t>
  </si>
  <si>
    <t>SH BABY BLANKET 40 KG</t>
  </si>
  <si>
    <t>SH BABY LIGHT RUMMAGE 40 KG</t>
  </si>
  <si>
    <t>SH BATH MAT 40 KG</t>
  </si>
  <si>
    <t>SH BED COVER</t>
  </si>
  <si>
    <t>SH BEDSHEET #1 40 KG</t>
  </si>
  <si>
    <t>SH BEDSHEET#2 40 KG</t>
  </si>
  <si>
    <t>SH BELTS 20 KG</t>
  </si>
  <si>
    <t>SH BODY SUIT 40 KG</t>
  </si>
  <si>
    <t>SH BOY PANT 40 KG</t>
  </si>
  <si>
    <t>SH BOY SHORT 40 KG</t>
  </si>
  <si>
    <t>SH BOY T SHIRTS S/S #2 40 KG</t>
  </si>
  <si>
    <t>SH BRASSIERS # 2 40 KG</t>
  </si>
  <si>
    <t>SH BRASSIERS 40 KG</t>
  </si>
  <si>
    <t>SH CCR #2 40 KG</t>
  </si>
  <si>
    <t>SH CCR (PREMIUM) 40 KG</t>
  </si>
  <si>
    <t>SH CHILDREN DRESS 40 KG</t>
  </si>
  <si>
    <t>SH CHILDREN PANT #2 40 KG</t>
  </si>
  <si>
    <t>SH CHILDREN PANTS 40 KG</t>
  </si>
  <si>
    <t>SH CHILDREN SHOES #1 20 KG</t>
  </si>
  <si>
    <t>SH CMR 40 KG</t>
  </si>
  <si>
    <t>SH CONVERSE 20 KG</t>
  </si>
  <si>
    <t>SH CORSET 20 KG</t>
  </si>
  <si>
    <t>SH CORSET 40 KG</t>
  </si>
  <si>
    <t>SH COSMETIC 15 KG</t>
  </si>
  <si>
    <t>SH CROP TOP CB 25 KGS</t>
  </si>
  <si>
    <t>SH CROPTOP T SHIRT #2 25 KG</t>
  </si>
  <si>
    <t>SH CWR #2 40 KG</t>
  </si>
  <si>
    <t>SH CWR#3 40 KG</t>
  </si>
  <si>
    <t>SH DRAPES 40 KG</t>
  </si>
  <si>
    <t>SH ELECTRIC 30 KG</t>
  </si>
  <si>
    <t>SH HAND BAG # 2 40 KG</t>
  </si>
  <si>
    <t>SH HARD TOYS 15 KG</t>
  </si>
  <si>
    <t>SH HIGH HEEL SHOES # 2 25 KG</t>
  </si>
  <si>
    <t>SH HIGH HEEL SHOES 25 KG</t>
  </si>
  <si>
    <t>SH JEWLLERY 15 KG</t>
  </si>
  <si>
    <t>SH LADIES MIX BLOUSE # 2 40 KG</t>
  </si>
  <si>
    <t>SH LADIES MIX SKIRT #2 40 KG</t>
  </si>
  <si>
    <t>SH LADIES TERIGAL SKIRT 40 KG</t>
  </si>
  <si>
    <t>SH LADY BLOUSE S/S #1 40 KG</t>
  </si>
  <si>
    <t>SH LADY BLOUSE S/S #2 40 KG</t>
  </si>
  <si>
    <t>SH LADY DRESS CB 25 KG</t>
  </si>
  <si>
    <t>SH LADY FASHION JACKET 40 KG</t>
  </si>
  <si>
    <t>SH LADY HEAVY DRESS#2 40 KG</t>
  </si>
  <si>
    <t>SH LADY HEAVY DRESS 50 KG</t>
  </si>
  <si>
    <t>SH LADY PANT BIG SIZE 40 KGS</t>
  </si>
  <si>
    <t>SH LADY SANDLE #2 25 KG</t>
  </si>
  <si>
    <t>SH LADY UNDERWEAR # 2 40 KG</t>
  </si>
  <si>
    <t>SH LC 40 KG</t>
  </si>
  <si>
    <t>SH LMP #1  200 PCS 85 KG</t>
  </si>
  <si>
    <t>SH LMP #2 200 PCS 80 KG</t>
  </si>
  <si>
    <t>SH MCP #3 100PCS 47KG</t>
  </si>
  <si>
    <t>SH MEN BOOTS # 2 25 KG</t>
  </si>
  <si>
    <t>SH MEN BOOTS # 3 25 KG</t>
  </si>
  <si>
    <t>SH MEN LEATHER SHOES #3 20 KGS</t>
  </si>
  <si>
    <t>SH MEN MIX SHIRT #3 40 KG</t>
  </si>
  <si>
    <t>SH MEN SPORTS SHOES #2 20 KG</t>
  </si>
  <si>
    <t>SH MEN SPORTS SHOES #3 20 KG</t>
  </si>
  <si>
    <t>SH MEN T-SHIRT S/S #2 40 KG</t>
  </si>
  <si>
    <t>SH MEN T-SHIRT S/S # 3 40 KG</t>
  </si>
  <si>
    <t>SH MEN T-SHIRTS S/S 40 KG</t>
  </si>
  <si>
    <t>SH MEN UNDER WEAR # 2 40 KG</t>
  </si>
  <si>
    <t>SH MIX-SPORT 40 KG</t>
  </si>
  <si>
    <t>SH MIX WINTER SHOES CR 20 KG</t>
  </si>
  <si>
    <t>SH MTP #2 40 KG</t>
  </si>
  <si>
    <t>SH MTP #3 100 PCS 40 KG</t>
  </si>
  <si>
    <t>SH ORIGINAL SHORTS 40 KG</t>
  </si>
  <si>
    <t>SH SAFETY SHOES # 2 25 KG</t>
  </si>
  <si>
    <t>SH SAFETY SHOES # 3 25 KG</t>
  </si>
  <si>
    <t>SH SAFETY SHOES 25 KG</t>
  </si>
  <si>
    <t>SH SMALL TOWEL 40 KG</t>
  </si>
  <si>
    <t>SH SOCKS 40 KG</t>
  </si>
  <si>
    <t>SH SOFT TOYS 12 KG</t>
  </si>
  <si>
    <t>SH SPORTS (ATW &amp; AJW) 40 KG</t>
  </si>
  <si>
    <t>SH SPORT SHORT 40 KG</t>
  </si>
  <si>
    <t>SH SPORT T SHIRT 40 KG</t>
  </si>
  <si>
    <t>SH TANK TOP 40 KG</t>
  </si>
  <si>
    <t>SH TOWEL #2 40 KG</t>
  </si>
  <si>
    <t>SH TROPICAL SHORT 40 KGS</t>
  </si>
  <si>
    <t>SH UNDERWEAR CRÈME 25 KG</t>
  </si>
  <si>
    <t>SH WEDDING DRESS #1 15 KG</t>
  </si>
  <si>
    <t>SH WORKING UNIFORM 40 KG</t>
  </si>
  <si>
    <t>PRICE OF CONT</t>
  </si>
  <si>
    <t>NAME</t>
  </si>
  <si>
    <t>CODE</t>
  </si>
  <si>
    <t>QTY</t>
  </si>
  <si>
    <t>RATE</t>
  </si>
  <si>
    <t>VALUE</t>
  </si>
  <si>
    <t>diff price</t>
  </si>
  <si>
    <t>tally net profit</t>
  </si>
  <si>
    <t>system old profit</t>
  </si>
  <si>
    <t>system new profit</t>
  </si>
  <si>
    <t>container total</t>
  </si>
  <si>
    <t>tally new profit</t>
  </si>
  <si>
    <t>duties</t>
  </si>
  <si>
    <t>difference 3000 office charge</t>
  </si>
  <si>
    <t xml:space="preserve">means it counted the goods as profit </t>
  </si>
  <si>
    <t>either stock is added twice or !!!</t>
  </si>
  <si>
    <t>round off 1.75 $</t>
  </si>
  <si>
    <t>result no eefect on system</t>
  </si>
  <si>
    <t>SYSTTEM PROBLEM TO BE FIXED OR FOLLOW</t>
  </si>
  <si>
    <t>SYSTEM</t>
  </si>
  <si>
    <t>TALLY</t>
  </si>
  <si>
    <t>DIFF</t>
  </si>
  <si>
    <t>(NOT YET ENTERED AS PHYSICAL STOCK)</t>
  </si>
  <si>
    <t>0.9  IF 27.73 ADDED</t>
  </si>
  <si>
    <t>CR OTW KIN</t>
  </si>
  <si>
    <t>WHEN IT OFFLOADS</t>
  </si>
  <si>
    <t xml:space="preserve">ALSO OTHER STUFF LIKE DUTIES AND LICENSES </t>
  </si>
  <si>
    <t>CALCUALTIONS IN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</si>
</sst>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&quot;0.00"/>
    <numFmt numFmtId="166" formatCode="&quot;&quot;0"/>
    <numFmt numFmtId="167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8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1" fontId="2" fillId="0" borderId="1" xfId="0" applyNumberFormat="1" applyFont="1" applyBorder="1" applyAlignment="1">
      <alignment horizontal="right" vertical="top"/>
    </xf>
    <xf numFmtId="165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2" fontId="1" fillId="0" borderId="0" xfId="0" applyNumberFormat="1" applyFont="1"/>
    <xf numFmtId="0" fontId="1" fillId="0" borderId="0" xfId="0" applyFont="1"/>
    <xf numFmtId="2" fontId="0" fillId="3" borderId="0" xfId="0" applyNumberFormat="1" applyFill="1"/>
    <xf numFmtId="0" fontId="0" fillId="4" borderId="0" xfId="0" applyFill="1"/>
    <xf numFmtId="167" fontId="0" fillId="4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ras.HASSAN\OneDrive%20-%20University%20of%20the%20People\Desktop\CONTAINERS\KINSHASA\H%20SARAH\CMAU7269418\KM%20N%20HS%2023-2025.xlsx" TargetMode="External"/><Relationship Id="rId1" Type="http://schemas.openxmlformats.org/officeDocument/2006/relationships/externalLinkPath" Target="CONTAINERS/KINSHASA/H%20SARAH/CMAU7269418/KM%20N%20HS%2023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"/>
    </sheetNames>
    <sheetDataSet>
      <sheetData sheetId="0">
        <row r="10">
          <cell r="D10" t="str">
            <v>HS0502</v>
          </cell>
          <cell r="E10" t="str">
            <v>LADIES FASHION SHOES</v>
          </cell>
          <cell r="F10">
            <v>1</v>
          </cell>
          <cell r="G10">
            <v>25</v>
          </cell>
          <cell r="H10">
            <v>40</v>
          </cell>
        </row>
        <row r="11">
          <cell r="D11" t="str">
            <v>HS864</v>
          </cell>
          <cell r="E11" t="str">
            <v>LADY NEW HILL CR</v>
          </cell>
          <cell r="F11">
            <v>1</v>
          </cell>
          <cell r="G11">
            <v>20</v>
          </cell>
          <cell r="H11">
            <v>100</v>
          </cell>
        </row>
        <row r="12">
          <cell r="D12" t="str">
            <v>HS0491</v>
          </cell>
          <cell r="E12" t="str">
            <v>LADY HIGH HEEL</v>
          </cell>
          <cell r="F12">
            <v>3</v>
          </cell>
          <cell r="G12">
            <v>25</v>
          </cell>
          <cell r="H12">
            <v>40</v>
          </cell>
        </row>
        <row r="13">
          <cell r="D13" t="str">
            <v>HS0492</v>
          </cell>
          <cell r="E13" t="str">
            <v>LADY HIGH HEEL</v>
          </cell>
          <cell r="F13">
            <v>3</v>
          </cell>
          <cell r="G13">
            <v>25</v>
          </cell>
          <cell r="H13">
            <v>10</v>
          </cell>
        </row>
        <row r="14">
          <cell r="D14" t="str">
            <v>HS0499</v>
          </cell>
          <cell r="E14" t="str">
            <v>MEN BOOT#</v>
          </cell>
          <cell r="F14">
            <v>1</v>
          </cell>
          <cell r="G14">
            <v>25</v>
          </cell>
          <cell r="H14">
            <v>150</v>
          </cell>
        </row>
        <row r="15">
          <cell r="D15" t="str">
            <v>HS0501</v>
          </cell>
          <cell r="E15" t="str">
            <v>MEN BOOT#3</v>
          </cell>
          <cell r="F15">
            <v>2</v>
          </cell>
          <cell r="G15">
            <v>25</v>
          </cell>
          <cell r="H15">
            <v>20</v>
          </cell>
        </row>
        <row r="16">
          <cell r="D16" t="str">
            <v>HS0536</v>
          </cell>
          <cell r="E16" t="str">
            <v>MEN LEATHER SHOES #1</v>
          </cell>
          <cell r="F16">
            <v>1</v>
          </cell>
          <cell r="G16">
            <v>20</v>
          </cell>
          <cell r="H16">
            <v>180</v>
          </cell>
        </row>
        <row r="17">
          <cell r="D17" t="str">
            <v>HS0494</v>
          </cell>
          <cell r="E17" t="str">
            <v>MEN SPORTS SHOES #1</v>
          </cell>
          <cell r="F17">
            <v>3</v>
          </cell>
          <cell r="G17">
            <v>20</v>
          </cell>
          <cell r="H17">
            <v>150</v>
          </cell>
        </row>
        <row r="18">
          <cell r="D18" t="str">
            <v>HS0495</v>
          </cell>
          <cell r="E18" t="str">
            <v>MEN SPORTS SHOES #2</v>
          </cell>
          <cell r="F18">
            <v>6</v>
          </cell>
          <cell r="G18">
            <v>20</v>
          </cell>
          <cell r="H18">
            <v>80</v>
          </cell>
        </row>
        <row r="19">
          <cell r="D19" t="str">
            <v>HS0496</v>
          </cell>
          <cell r="E19" t="str">
            <v>MEN SPORTS SHOES #3</v>
          </cell>
          <cell r="F19">
            <v>10</v>
          </cell>
          <cell r="G19">
            <v>20</v>
          </cell>
          <cell r="H19">
            <v>40</v>
          </cell>
        </row>
        <row r="20">
          <cell r="D20" t="str">
            <v>HS0514</v>
          </cell>
          <cell r="E20" t="str">
            <v>CONVERS</v>
          </cell>
          <cell r="F20">
            <v>1</v>
          </cell>
          <cell r="G20">
            <v>20</v>
          </cell>
          <cell r="H20">
            <v>10</v>
          </cell>
        </row>
        <row r="21">
          <cell r="D21" t="str">
            <v>HS0480</v>
          </cell>
          <cell r="E21" t="str">
            <v>MIX SHOES # 1</v>
          </cell>
          <cell r="F21">
            <v>10</v>
          </cell>
          <cell r="G21">
            <v>25</v>
          </cell>
          <cell r="H21">
            <v>125</v>
          </cell>
        </row>
        <row r="22">
          <cell r="D22" t="str">
            <v>HS0481</v>
          </cell>
          <cell r="E22" t="str">
            <v>MIX SHOES # 2</v>
          </cell>
          <cell r="F22">
            <v>13</v>
          </cell>
          <cell r="G22">
            <v>25</v>
          </cell>
          <cell r="H22">
            <v>60</v>
          </cell>
        </row>
        <row r="23">
          <cell r="D23" t="str">
            <v>HS0482</v>
          </cell>
          <cell r="E23" t="str">
            <v>MIX SHOES # 3</v>
          </cell>
          <cell r="F23">
            <v>32</v>
          </cell>
          <cell r="G23">
            <v>25</v>
          </cell>
          <cell r="H23">
            <v>25</v>
          </cell>
        </row>
        <row r="24">
          <cell r="D24" t="str">
            <v>HS0519</v>
          </cell>
          <cell r="E24" t="str">
            <v>SAFETY SHOES#3</v>
          </cell>
          <cell r="F24">
            <v>1</v>
          </cell>
          <cell r="G24">
            <v>25</v>
          </cell>
          <cell r="H24">
            <v>30</v>
          </cell>
        </row>
        <row r="25">
          <cell r="D25" t="str">
            <v>HS0483</v>
          </cell>
          <cell r="E25" t="str">
            <v xml:space="preserve">SLIPPER </v>
          </cell>
          <cell r="F25">
            <v>3</v>
          </cell>
          <cell r="G25">
            <v>20</v>
          </cell>
          <cell r="H25">
            <v>60</v>
          </cell>
        </row>
        <row r="26">
          <cell r="D26" t="str">
            <v>HS0484</v>
          </cell>
          <cell r="E26" t="str">
            <v>SLIPPER#</v>
          </cell>
          <cell r="F26">
            <v>6</v>
          </cell>
          <cell r="G26">
            <v>20</v>
          </cell>
          <cell r="H26">
            <v>30</v>
          </cell>
        </row>
        <row r="27">
          <cell r="D27" t="str">
            <v>HS801</v>
          </cell>
          <cell r="E27" t="str">
            <v>MEN BAG</v>
          </cell>
          <cell r="F27">
            <v>1</v>
          </cell>
          <cell r="G27">
            <v>20</v>
          </cell>
          <cell r="H27">
            <v>60</v>
          </cell>
        </row>
        <row r="28">
          <cell r="D28" t="str">
            <v>HS867</v>
          </cell>
          <cell r="E28" t="str">
            <v>HAND BAG # 2</v>
          </cell>
          <cell r="F28">
            <v>6</v>
          </cell>
          <cell r="G28">
            <v>40</v>
          </cell>
          <cell r="H28">
            <v>30</v>
          </cell>
        </row>
        <row r="29">
          <cell r="D29" t="str">
            <v>HS930</v>
          </cell>
          <cell r="E29" t="str">
            <v>CROP TOP CB</v>
          </cell>
          <cell r="F29">
            <v>1</v>
          </cell>
          <cell r="G29">
            <v>25</v>
          </cell>
          <cell r="H29">
            <v>225</v>
          </cell>
        </row>
        <row r="30">
          <cell r="D30" t="str">
            <v>HS742</v>
          </cell>
          <cell r="E30" t="str">
            <v>LADY DRESS CB</v>
          </cell>
          <cell r="F30">
            <v>3</v>
          </cell>
          <cell r="G30">
            <v>25</v>
          </cell>
          <cell r="H30">
            <v>213</v>
          </cell>
        </row>
        <row r="31">
          <cell r="D31" t="str">
            <v>HS827</v>
          </cell>
          <cell r="E31" t="str">
            <v>ADULT JOGGER PANT</v>
          </cell>
          <cell r="F31">
            <v>3</v>
          </cell>
          <cell r="G31">
            <v>40</v>
          </cell>
          <cell r="H31">
            <v>110</v>
          </cell>
        </row>
        <row r="32">
          <cell r="D32" t="str">
            <v>HS799</v>
          </cell>
          <cell r="E32" t="str">
            <v>ADULT JOGGER PANT#2</v>
          </cell>
          <cell r="F32">
            <v>5</v>
          </cell>
          <cell r="G32">
            <v>40</v>
          </cell>
          <cell r="H32">
            <v>80</v>
          </cell>
        </row>
        <row r="33">
          <cell r="D33" t="str">
            <v>HS0004</v>
          </cell>
          <cell r="E33" t="str">
            <v>BABY BLANKET</v>
          </cell>
          <cell r="F33">
            <v>10</v>
          </cell>
          <cell r="G33">
            <v>40</v>
          </cell>
          <cell r="H33">
            <v>20</v>
          </cell>
        </row>
        <row r="34">
          <cell r="D34" t="str">
            <v>HS711</v>
          </cell>
          <cell r="E34" t="str">
            <v>BABY LIGHT RUMMAGE</v>
          </cell>
          <cell r="F34">
            <v>9</v>
          </cell>
          <cell r="G34">
            <v>40</v>
          </cell>
          <cell r="H34">
            <v>110</v>
          </cell>
        </row>
        <row r="35">
          <cell r="D35" t="str">
            <v>HS0010</v>
          </cell>
          <cell r="E35" t="str">
            <v>BATH MAT</v>
          </cell>
          <cell r="F35">
            <v>2</v>
          </cell>
          <cell r="G35">
            <v>40</v>
          </cell>
          <cell r="H35">
            <v>50</v>
          </cell>
        </row>
        <row r="36">
          <cell r="D36" t="str">
            <v>HS0115</v>
          </cell>
          <cell r="E36" t="str">
            <v>BEDSHEET #1</v>
          </cell>
          <cell r="F36">
            <v>3</v>
          </cell>
          <cell r="G36">
            <v>40</v>
          </cell>
          <cell r="H36">
            <v>60</v>
          </cell>
        </row>
        <row r="37">
          <cell r="D37" t="str">
            <v>HS0168</v>
          </cell>
          <cell r="E37" t="str">
            <v>BEDSHEET #2</v>
          </cell>
          <cell r="F37">
            <v>15</v>
          </cell>
          <cell r="G37">
            <v>40</v>
          </cell>
          <cell r="H37">
            <v>30</v>
          </cell>
        </row>
        <row r="38">
          <cell r="D38" t="str">
            <v>HS0011</v>
          </cell>
          <cell r="E38" t="str">
            <v>BELTS</v>
          </cell>
          <cell r="F38">
            <v>3</v>
          </cell>
          <cell r="G38">
            <v>20</v>
          </cell>
          <cell r="H38">
            <v>40</v>
          </cell>
        </row>
        <row r="39">
          <cell r="D39" t="str">
            <v>HS0014</v>
          </cell>
          <cell r="E39" t="str">
            <v>BODY SUIT</v>
          </cell>
          <cell r="F39">
            <v>2</v>
          </cell>
          <cell r="G39">
            <v>40</v>
          </cell>
          <cell r="H39">
            <v>120</v>
          </cell>
        </row>
        <row r="40">
          <cell r="D40" t="str">
            <v>HS0019</v>
          </cell>
          <cell r="E40" t="str">
            <v>BOY T SHIRT S/S</v>
          </cell>
          <cell r="F40">
            <v>2</v>
          </cell>
          <cell r="G40">
            <v>40</v>
          </cell>
          <cell r="H40">
            <v>140</v>
          </cell>
        </row>
        <row r="41">
          <cell r="D41" t="str">
            <v>HS0153</v>
          </cell>
          <cell r="E41" t="str">
            <v>BOY T SHIRTS S/S #2</v>
          </cell>
          <cell r="F41">
            <v>10</v>
          </cell>
          <cell r="G41">
            <v>40</v>
          </cell>
          <cell r="H41">
            <v>75</v>
          </cell>
        </row>
        <row r="42">
          <cell r="D42" t="str">
            <v>HS0022</v>
          </cell>
          <cell r="E42" t="str">
            <v>BRASSIERS</v>
          </cell>
          <cell r="F42">
            <v>3</v>
          </cell>
          <cell r="G42">
            <v>40</v>
          </cell>
          <cell r="H42">
            <v>130</v>
          </cell>
        </row>
        <row r="43">
          <cell r="D43" t="str">
            <v>HS0155</v>
          </cell>
          <cell r="E43" t="str">
            <v>BRASSIERS-</v>
          </cell>
          <cell r="F43">
            <v>3</v>
          </cell>
          <cell r="G43">
            <v>40</v>
          </cell>
          <cell r="H43">
            <v>60</v>
          </cell>
        </row>
        <row r="44">
          <cell r="D44" t="str">
            <v>HS0156</v>
          </cell>
          <cell r="E44" t="str">
            <v>CCR #2</v>
          </cell>
          <cell r="F44">
            <v>40</v>
          </cell>
          <cell r="G44">
            <v>40</v>
          </cell>
          <cell r="H44">
            <v>60</v>
          </cell>
        </row>
        <row r="45">
          <cell r="D45" t="str">
            <v>HS862</v>
          </cell>
          <cell r="E45" t="str">
            <v>CCR #3</v>
          </cell>
          <cell r="F45">
            <v>6</v>
          </cell>
          <cell r="G45">
            <v>45</v>
          </cell>
          <cell r="H45">
            <v>15</v>
          </cell>
        </row>
        <row r="46">
          <cell r="D46" t="str">
            <v>HS0025</v>
          </cell>
          <cell r="E46" t="str">
            <v>CCR (PREMIUM)</v>
          </cell>
          <cell r="F46">
            <v>7</v>
          </cell>
          <cell r="G46">
            <v>40</v>
          </cell>
          <cell r="H46">
            <v>210</v>
          </cell>
        </row>
        <row r="47">
          <cell r="D47" t="str">
            <v>HS0160</v>
          </cell>
          <cell r="E47" t="str">
            <v>CHILDREN PANT # 2</v>
          </cell>
          <cell r="F47">
            <v>4</v>
          </cell>
          <cell r="G47">
            <v>40</v>
          </cell>
          <cell r="H47">
            <v>30</v>
          </cell>
        </row>
        <row r="48">
          <cell r="D48" t="str">
            <v>HS0030</v>
          </cell>
          <cell r="E48" t="str">
            <v>CHILDREN PANTS</v>
          </cell>
          <cell r="F48">
            <v>3</v>
          </cell>
          <cell r="G48">
            <v>40</v>
          </cell>
          <cell r="H48">
            <v>100</v>
          </cell>
        </row>
        <row r="49">
          <cell r="D49" t="str">
            <v>HS739</v>
          </cell>
          <cell r="E49" t="str">
            <v>CMR</v>
          </cell>
          <cell r="F49">
            <v>3</v>
          </cell>
          <cell r="G49">
            <v>40</v>
          </cell>
          <cell r="H49">
            <v>60</v>
          </cell>
        </row>
        <row r="50">
          <cell r="D50" t="str">
            <v>HS0038</v>
          </cell>
          <cell r="E50" t="str">
            <v>CROPTOP T SHIRT 25</v>
          </cell>
          <cell r="F50">
            <v>2</v>
          </cell>
          <cell r="G50">
            <v>25</v>
          </cell>
          <cell r="H50">
            <v>113</v>
          </cell>
        </row>
        <row r="51">
          <cell r="D51" t="str">
            <v>HS0263</v>
          </cell>
          <cell r="E51" t="str">
            <v>CWR #2</v>
          </cell>
          <cell r="F51">
            <v>28</v>
          </cell>
          <cell r="G51">
            <v>40</v>
          </cell>
          <cell r="H51">
            <v>25</v>
          </cell>
        </row>
        <row r="52">
          <cell r="D52" t="str">
            <v>HS0298</v>
          </cell>
          <cell r="E52" t="str">
            <v>CWR#3</v>
          </cell>
          <cell r="F52">
            <v>54</v>
          </cell>
          <cell r="G52">
            <v>40</v>
          </cell>
          <cell r="H52">
            <v>15</v>
          </cell>
        </row>
        <row r="53">
          <cell r="D53" t="str">
            <v>HS673</v>
          </cell>
          <cell r="E53" t="str">
            <v>DRAPES</v>
          </cell>
          <cell r="F53">
            <v>7</v>
          </cell>
          <cell r="G53">
            <v>40</v>
          </cell>
          <cell r="H53">
            <v>35</v>
          </cell>
        </row>
        <row r="54">
          <cell r="D54" t="str">
            <v>HS0339</v>
          </cell>
          <cell r="E54" t="str">
            <v>HARD TOYS</v>
          </cell>
          <cell r="F54">
            <v>10</v>
          </cell>
          <cell r="G54">
            <v>20</v>
          </cell>
          <cell r="H54">
            <v>20</v>
          </cell>
        </row>
        <row r="55">
          <cell r="D55" t="str">
            <v>HS0348</v>
          </cell>
          <cell r="E55" t="str">
            <v>COSMETIC</v>
          </cell>
          <cell r="F55">
            <v>1</v>
          </cell>
          <cell r="G55">
            <v>15</v>
          </cell>
          <cell r="H55">
            <v>30</v>
          </cell>
        </row>
        <row r="56">
          <cell r="D56" t="str">
            <v>HS0343</v>
          </cell>
          <cell r="E56" t="str">
            <v>ELECTRIC</v>
          </cell>
          <cell r="F56">
            <v>1</v>
          </cell>
          <cell r="G56">
            <v>30</v>
          </cell>
          <cell r="H56">
            <v>45</v>
          </cell>
        </row>
        <row r="57">
          <cell r="D57" t="str">
            <v>HS0347</v>
          </cell>
          <cell r="E57" t="str">
            <v>JEWELLERY</v>
          </cell>
          <cell r="F57">
            <v>1</v>
          </cell>
          <cell r="G57">
            <v>15</v>
          </cell>
          <cell r="H57">
            <v>150</v>
          </cell>
        </row>
        <row r="58">
          <cell r="D58" t="str">
            <v>HS839</v>
          </cell>
          <cell r="E58" t="str">
            <v>HAWAII SHIRT</v>
          </cell>
          <cell r="F58">
            <v>1</v>
          </cell>
          <cell r="G58">
            <v>40</v>
          </cell>
          <cell r="H58">
            <v>130</v>
          </cell>
        </row>
        <row r="59">
          <cell r="D59" t="str">
            <v>HS0173</v>
          </cell>
          <cell r="E59" t="str">
            <v>LADIES MIX DRESS #2</v>
          </cell>
          <cell r="F59">
            <v>9</v>
          </cell>
          <cell r="G59">
            <v>40</v>
          </cell>
          <cell r="H59">
            <v>50</v>
          </cell>
        </row>
        <row r="60">
          <cell r="D60" t="str">
            <v>HS0174</v>
          </cell>
          <cell r="E60" t="str">
            <v>LADIES MIX SKIRT #2</v>
          </cell>
          <cell r="F60">
            <v>7</v>
          </cell>
          <cell r="G60">
            <v>40</v>
          </cell>
          <cell r="H60">
            <v>30</v>
          </cell>
        </row>
        <row r="61">
          <cell r="D61" t="str">
            <v>HS0081</v>
          </cell>
          <cell r="E61" t="str">
            <v>LADIES TERIGAL SKIRT</v>
          </cell>
          <cell r="F61">
            <v>2</v>
          </cell>
          <cell r="G61">
            <v>40</v>
          </cell>
          <cell r="H61">
            <v>30</v>
          </cell>
        </row>
        <row r="62">
          <cell r="D62" t="str">
            <v>HS892</v>
          </cell>
          <cell r="E62" t="str">
            <v>LADY BLOUSE S/S #1</v>
          </cell>
          <cell r="F62">
            <v>5</v>
          </cell>
          <cell r="G62">
            <v>40</v>
          </cell>
          <cell r="H62">
            <v>60</v>
          </cell>
        </row>
        <row r="63">
          <cell r="D63" t="str">
            <v>HS890</v>
          </cell>
          <cell r="E63" t="str">
            <v>LADY BLOUSE S/S #2</v>
          </cell>
          <cell r="F63">
            <v>6</v>
          </cell>
          <cell r="G63">
            <v>40</v>
          </cell>
          <cell r="H63">
            <v>15</v>
          </cell>
        </row>
        <row r="64">
          <cell r="D64" t="str">
            <v>HS0021</v>
          </cell>
          <cell r="E64" t="str">
            <v>LADY BOYFRIEND PANT</v>
          </cell>
          <cell r="F64">
            <v>5</v>
          </cell>
          <cell r="G64">
            <v>40</v>
          </cell>
          <cell r="H64">
            <v>120</v>
          </cell>
        </row>
        <row r="65">
          <cell r="D65" t="str">
            <v>HS724</v>
          </cell>
          <cell r="E65" t="str">
            <v>LADY BOYFRIEND PANT #2</v>
          </cell>
          <cell r="F65">
            <v>6</v>
          </cell>
          <cell r="G65">
            <v>40</v>
          </cell>
          <cell r="H65">
            <v>50</v>
          </cell>
        </row>
        <row r="66">
          <cell r="D66" t="str">
            <v>HS719</v>
          </cell>
          <cell r="E66" t="str">
            <v>LADY FASHION JACKET</v>
          </cell>
          <cell r="F66">
            <v>1</v>
          </cell>
          <cell r="G66">
            <v>40</v>
          </cell>
          <cell r="H66">
            <v>40</v>
          </cell>
        </row>
        <row r="67">
          <cell r="D67" t="str">
            <v>HS0064</v>
          </cell>
          <cell r="E67" t="str">
            <v>LADY JEANS DRESS</v>
          </cell>
          <cell r="F67">
            <v>1</v>
          </cell>
          <cell r="G67">
            <v>40</v>
          </cell>
          <cell r="H67">
            <v>50</v>
          </cell>
        </row>
        <row r="68">
          <cell r="D68" t="str">
            <v>HS714</v>
          </cell>
          <cell r="E68" t="str">
            <v>LADY HEAVY DRESS</v>
          </cell>
          <cell r="F68">
            <v>3</v>
          </cell>
          <cell r="G68">
            <v>50</v>
          </cell>
          <cell r="H68">
            <v>80</v>
          </cell>
        </row>
        <row r="69">
          <cell r="D69" t="str">
            <v>HS762</v>
          </cell>
          <cell r="E69" t="str">
            <v>LADY HEAVY DRESS#2</v>
          </cell>
          <cell r="F69">
            <v>9</v>
          </cell>
          <cell r="G69">
            <v>40</v>
          </cell>
          <cell r="H69">
            <v>20</v>
          </cell>
        </row>
        <row r="70">
          <cell r="D70" t="str">
            <v>HS787</v>
          </cell>
          <cell r="E70" t="str">
            <v>LADY JEANS SKIRT</v>
          </cell>
          <cell r="F70">
            <v>3</v>
          </cell>
          <cell r="G70">
            <v>40</v>
          </cell>
          <cell r="H70">
            <v>30</v>
          </cell>
        </row>
        <row r="71">
          <cell r="D71" t="str">
            <v>HS0078</v>
          </cell>
          <cell r="E71" t="str">
            <v>LADY LONG DRESS</v>
          </cell>
          <cell r="F71">
            <v>10</v>
          </cell>
          <cell r="G71">
            <v>40</v>
          </cell>
          <cell r="H71">
            <v>155</v>
          </cell>
        </row>
        <row r="72">
          <cell r="D72" t="str">
            <v>HS733</v>
          </cell>
          <cell r="E72" t="str">
            <v>LADY LONG SKIRT</v>
          </cell>
          <cell r="F72">
            <v>2</v>
          </cell>
          <cell r="G72">
            <v>40</v>
          </cell>
          <cell r="H72">
            <v>90</v>
          </cell>
        </row>
        <row r="73">
          <cell r="D73" t="str">
            <v>HS704</v>
          </cell>
          <cell r="E73" t="str">
            <v>LADY MIX PANT #2</v>
          </cell>
          <cell r="F73">
            <v>29</v>
          </cell>
          <cell r="G73">
            <v>80</v>
          </cell>
          <cell r="H73">
            <v>30</v>
          </cell>
        </row>
        <row r="74">
          <cell r="D74" t="str">
            <v>HS780</v>
          </cell>
          <cell r="E74" t="str">
            <v>LADY MIX PANT 200 PCS</v>
          </cell>
          <cell r="F74">
            <v>14</v>
          </cell>
          <cell r="G74">
            <v>85</v>
          </cell>
          <cell r="H74">
            <v>67</v>
          </cell>
        </row>
        <row r="75">
          <cell r="D75" t="str">
            <v>HS736</v>
          </cell>
          <cell r="E75" t="str">
            <v>LADY SPRING DRESS</v>
          </cell>
          <cell r="F75">
            <v>5</v>
          </cell>
          <cell r="G75">
            <v>50</v>
          </cell>
          <cell r="H75">
            <v>100</v>
          </cell>
        </row>
        <row r="76">
          <cell r="D76" t="str">
            <v>HS0053</v>
          </cell>
          <cell r="E76" t="str">
            <v>LADY TERIGAL PANT</v>
          </cell>
          <cell r="F76">
            <v>3</v>
          </cell>
          <cell r="G76">
            <v>40</v>
          </cell>
          <cell r="H76">
            <v>70</v>
          </cell>
        </row>
        <row r="77">
          <cell r="D77" t="str">
            <v>HS0178</v>
          </cell>
          <cell r="E77" t="str">
            <v>LADY-UNDERWEAR</v>
          </cell>
          <cell r="F77">
            <v>3</v>
          </cell>
          <cell r="G77">
            <v>40</v>
          </cell>
          <cell r="H77">
            <v>50</v>
          </cell>
        </row>
        <row r="78">
          <cell r="D78" t="str">
            <v>HS715</v>
          </cell>
          <cell r="E78" t="str">
            <v>LC</v>
          </cell>
          <cell r="F78">
            <v>4</v>
          </cell>
          <cell r="G78">
            <v>40</v>
          </cell>
          <cell r="H78">
            <v>60</v>
          </cell>
        </row>
        <row r="79">
          <cell r="D79" t="str">
            <v>HS849</v>
          </cell>
          <cell r="E79" t="str">
            <v>MEN COTTON PANT # 2 100pcs</v>
          </cell>
          <cell r="F79">
            <v>5</v>
          </cell>
          <cell r="G79">
            <v>45</v>
          </cell>
          <cell r="H79">
            <v>60</v>
          </cell>
        </row>
        <row r="80">
          <cell r="D80" t="str">
            <v>HS850</v>
          </cell>
          <cell r="E80" t="str">
            <v xml:space="preserve">MEN COTTON PANT # </v>
          </cell>
          <cell r="F80">
            <v>2</v>
          </cell>
          <cell r="G80">
            <v>47</v>
          </cell>
          <cell r="H80">
            <v>30</v>
          </cell>
        </row>
        <row r="81">
          <cell r="D81" t="str">
            <v>HS825</v>
          </cell>
          <cell r="E81" t="str">
            <v>MEN COTTON PANT 100 PCS</v>
          </cell>
          <cell r="F81">
            <v>2</v>
          </cell>
          <cell r="G81">
            <v>45</v>
          </cell>
          <cell r="H81">
            <v>140</v>
          </cell>
        </row>
        <row r="82">
          <cell r="D82" t="str">
            <v>HS847</v>
          </cell>
          <cell r="E82" t="str">
            <v>MEN JEANS PANT # 2 100pcs</v>
          </cell>
          <cell r="F82">
            <v>5</v>
          </cell>
          <cell r="G82">
            <v>60</v>
          </cell>
          <cell r="H82">
            <v>65</v>
          </cell>
        </row>
        <row r="83">
          <cell r="D83" t="str">
            <v>HS848</v>
          </cell>
          <cell r="E83" t="str">
            <v>MEN JEANS PANT # 3 100pcs</v>
          </cell>
          <cell r="F83">
            <v>4</v>
          </cell>
          <cell r="G83">
            <v>60</v>
          </cell>
          <cell r="H83">
            <v>20</v>
          </cell>
        </row>
        <row r="84">
          <cell r="D84" t="str">
            <v>HS824</v>
          </cell>
          <cell r="E84" t="str">
            <v>MEN JEANS PANT 100 PCS</v>
          </cell>
          <cell r="F84">
            <v>4</v>
          </cell>
          <cell r="G84">
            <v>60</v>
          </cell>
          <cell r="H84">
            <v>130</v>
          </cell>
        </row>
        <row r="85">
          <cell r="D85" t="str">
            <v>HS0213</v>
          </cell>
          <cell r="E85" t="str">
            <v>MEN MIX SHIRT # 3</v>
          </cell>
          <cell r="F85">
            <v>9</v>
          </cell>
          <cell r="G85">
            <v>40</v>
          </cell>
          <cell r="H85">
            <v>30</v>
          </cell>
        </row>
        <row r="86">
          <cell r="D86" t="str">
            <v>HS0101</v>
          </cell>
          <cell r="E86" t="str">
            <v>MEN SHIRT</v>
          </cell>
          <cell r="F86">
            <v>4</v>
          </cell>
          <cell r="G86">
            <v>40</v>
          </cell>
          <cell r="H86">
            <v>200</v>
          </cell>
        </row>
        <row r="87">
          <cell r="D87" t="str">
            <v>HS0189</v>
          </cell>
          <cell r="E87" t="str">
            <v>MEN SHIRTS # 2</v>
          </cell>
          <cell r="F87">
            <v>6</v>
          </cell>
          <cell r="G87">
            <v>40</v>
          </cell>
          <cell r="H87">
            <v>90</v>
          </cell>
        </row>
        <row r="88">
          <cell r="D88" t="str">
            <v>HS0191</v>
          </cell>
          <cell r="E88" t="str">
            <v>MEN TERIGAL PANT #2</v>
          </cell>
          <cell r="F88">
            <v>4</v>
          </cell>
          <cell r="G88">
            <v>40</v>
          </cell>
          <cell r="H88">
            <v>45</v>
          </cell>
        </row>
        <row r="89">
          <cell r="D89" t="str">
            <v>HS851</v>
          </cell>
          <cell r="E89" t="str">
            <v>MEN TERIGAL PANT #3 100pcs</v>
          </cell>
          <cell r="F89">
            <v>4</v>
          </cell>
          <cell r="G89">
            <v>40</v>
          </cell>
          <cell r="H89">
            <v>20</v>
          </cell>
        </row>
        <row r="90">
          <cell r="D90" t="str">
            <v>HS857</v>
          </cell>
          <cell r="E90" t="str">
            <v>MEN TERIGAL PANT 100pcs</v>
          </cell>
          <cell r="F90">
            <v>2</v>
          </cell>
          <cell r="G90">
            <v>40</v>
          </cell>
          <cell r="H90">
            <v>100</v>
          </cell>
        </row>
        <row r="91">
          <cell r="D91" t="str">
            <v>HS214</v>
          </cell>
          <cell r="E91" t="str">
            <v>MEN T SHIRT#</v>
          </cell>
          <cell r="F91">
            <v>8</v>
          </cell>
          <cell r="G91">
            <v>40</v>
          </cell>
          <cell r="H91">
            <v>25</v>
          </cell>
        </row>
        <row r="92">
          <cell r="D92" t="str">
            <v>HS0192</v>
          </cell>
          <cell r="E92" t="str">
            <v>MEN T-SHIRT S/S # 2</v>
          </cell>
          <cell r="F92">
            <v>4</v>
          </cell>
          <cell r="G92">
            <v>40</v>
          </cell>
          <cell r="H92">
            <v>70</v>
          </cell>
        </row>
        <row r="93">
          <cell r="D93" t="str">
            <v>HS0108</v>
          </cell>
          <cell r="E93" t="str">
            <v>MEN T-SHIRTS S/S</v>
          </cell>
          <cell r="F93">
            <v>5</v>
          </cell>
          <cell r="G93">
            <v>40</v>
          </cell>
          <cell r="H93">
            <v>140</v>
          </cell>
        </row>
        <row r="94">
          <cell r="D94" t="str">
            <v>HS0109</v>
          </cell>
          <cell r="E94" t="str">
            <v>MEN UNDERWEAR</v>
          </cell>
          <cell r="F94">
            <v>1</v>
          </cell>
          <cell r="G94">
            <v>40</v>
          </cell>
          <cell r="H94">
            <v>120</v>
          </cell>
        </row>
        <row r="95">
          <cell r="D95" t="str">
            <v>HS0193</v>
          </cell>
          <cell r="E95" t="str">
            <v>MEN- UNDERWEAR</v>
          </cell>
          <cell r="F95">
            <v>4</v>
          </cell>
          <cell r="G95">
            <v>40</v>
          </cell>
          <cell r="H95">
            <v>50</v>
          </cell>
        </row>
        <row r="96">
          <cell r="D96" t="str">
            <v>HS0111</v>
          </cell>
          <cell r="E96" t="str">
            <v>MEN WHITE T-SHIRT S/S</v>
          </cell>
          <cell r="F96">
            <v>1</v>
          </cell>
          <cell r="G96">
            <v>40</v>
          </cell>
          <cell r="H96">
            <v>80</v>
          </cell>
        </row>
        <row r="97">
          <cell r="D97" t="str">
            <v>HS866</v>
          </cell>
          <cell r="E97" t="str">
            <v>MEN WOOL SHIRT #2</v>
          </cell>
          <cell r="F97">
            <v>3</v>
          </cell>
          <cell r="G97">
            <v>50</v>
          </cell>
          <cell r="H97">
            <v>50</v>
          </cell>
        </row>
        <row r="98">
          <cell r="D98" t="str">
            <v>HS859</v>
          </cell>
          <cell r="E98" t="str">
            <v>MIX HHR #2</v>
          </cell>
          <cell r="F98">
            <v>6</v>
          </cell>
          <cell r="G98">
            <v>40</v>
          </cell>
          <cell r="H98">
            <v>25</v>
          </cell>
        </row>
        <row r="99">
          <cell r="D99" t="str">
            <v>HS0198</v>
          </cell>
          <cell r="E99" t="str">
            <v>MIX SHORT</v>
          </cell>
          <cell r="F99">
            <v>11</v>
          </cell>
          <cell r="G99">
            <v>40</v>
          </cell>
          <cell r="H99">
            <v>25</v>
          </cell>
        </row>
        <row r="100">
          <cell r="D100" t="str">
            <v>HS0147</v>
          </cell>
          <cell r="E100" t="str">
            <v>MIX SPORTS</v>
          </cell>
          <cell r="F100">
            <v>7</v>
          </cell>
          <cell r="G100">
            <v>40</v>
          </cell>
          <cell r="H100">
            <v>40</v>
          </cell>
        </row>
        <row r="101">
          <cell r="D101" t="str">
            <v>HS0116</v>
          </cell>
          <cell r="E101" t="str">
            <v>ORGINAL SHORT</v>
          </cell>
          <cell r="F101">
            <v>3</v>
          </cell>
          <cell r="G101">
            <v>40</v>
          </cell>
          <cell r="H101">
            <v>100</v>
          </cell>
        </row>
        <row r="102">
          <cell r="D102" t="str">
            <v>HS656</v>
          </cell>
          <cell r="E102" t="str">
            <v>SMALL HHR #1</v>
          </cell>
          <cell r="F102">
            <v>3</v>
          </cell>
          <cell r="G102">
            <v>40</v>
          </cell>
          <cell r="H102">
            <v>20</v>
          </cell>
        </row>
        <row r="103">
          <cell r="D103" t="str">
            <v>HS756</v>
          </cell>
          <cell r="E103" t="str">
            <v>SMALL TOWEL</v>
          </cell>
          <cell r="F103">
            <v>2</v>
          </cell>
          <cell r="G103">
            <v>40</v>
          </cell>
          <cell r="H103">
            <v>80</v>
          </cell>
        </row>
        <row r="104">
          <cell r="D104" t="str">
            <v>HS0127</v>
          </cell>
          <cell r="E104" t="str">
            <v>SOCKS</v>
          </cell>
          <cell r="F104">
            <v>4</v>
          </cell>
          <cell r="G104">
            <v>40</v>
          </cell>
          <cell r="H104">
            <v>60</v>
          </cell>
        </row>
        <row r="105">
          <cell r="D105" t="str">
            <v>HS0340</v>
          </cell>
          <cell r="E105" t="str">
            <v>SOFT TOYS</v>
          </cell>
          <cell r="F105">
            <v>4</v>
          </cell>
          <cell r="G105">
            <v>12</v>
          </cell>
          <cell r="H105">
            <v>18</v>
          </cell>
        </row>
        <row r="106">
          <cell r="D106" t="str">
            <v>HS740</v>
          </cell>
          <cell r="E106" t="str">
            <v>SPORT SHORT</v>
          </cell>
          <cell r="F106">
            <v>2</v>
          </cell>
          <cell r="G106">
            <v>40</v>
          </cell>
          <cell r="H106">
            <v>140</v>
          </cell>
        </row>
        <row r="107">
          <cell r="D107" t="str">
            <v>HS710</v>
          </cell>
          <cell r="E107" t="str">
            <v>SPORT T SHIRT</v>
          </cell>
          <cell r="F107">
            <v>7</v>
          </cell>
          <cell r="G107">
            <v>40</v>
          </cell>
          <cell r="H107">
            <v>150</v>
          </cell>
        </row>
        <row r="108">
          <cell r="D108" t="str">
            <v>HS0128</v>
          </cell>
          <cell r="E108" t="str">
            <v>SPORTS (ATW &amp; AJW)</v>
          </cell>
          <cell r="F108">
            <v>6</v>
          </cell>
          <cell r="G108">
            <v>40</v>
          </cell>
          <cell r="H108">
            <v>100</v>
          </cell>
        </row>
        <row r="109">
          <cell r="D109" t="str">
            <v>HS0130</v>
          </cell>
          <cell r="E109" t="str">
            <v>SUMMER CAPS</v>
          </cell>
          <cell r="F109">
            <v>2</v>
          </cell>
          <cell r="G109">
            <v>20</v>
          </cell>
          <cell r="H109">
            <v>60</v>
          </cell>
        </row>
        <row r="110">
          <cell r="D110" t="str">
            <v>HS729</v>
          </cell>
          <cell r="E110" t="str">
            <v>TANK TOP</v>
          </cell>
          <cell r="F110">
            <v>2</v>
          </cell>
          <cell r="G110">
            <v>40</v>
          </cell>
          <cell r="H110">
            <v>65</v>
          </cell>
        </row>
        <row r="111">
          <cell r="D111" t="str">
            <v>HS761</v>
          </cell>
          <cell r="E111" t="str">
            <v>TROPICAL SHORT</v>
          </cell>
          <cell r="F111">
            <v>1</v>
          </cell>
          <cell r="G111">
            <v>40</v>
          </cell>
          <cell r="H111">
            <v>110</v>
          </cell>
        </row>
        <row r="112">
          <cell r="D112" t="str">
            <v>HS667</v>
          </cell>
          <cell r="E112" t="str">
            <v>TOWEL</v>
          </cell>
          <cell r="F112">
            <v>1</v>
          </cell>
          <cell r="G112">
            <v>40</v>
          </cell>
          <cell r="H112">
            <v>120</v>
          </cell>
        </row>
        <row r="113">
          <cell r="D113" t="str">
            <v>HS657</v>
          </cell>
          <cell r="E113" t="str">
            <v>TOWEL # 2</v>
          </cell>
          <cell r="F113">
            <v>12</v>
          </cell>
          <cell r="G113">
            <v>40</v>
          </cell>
          <cell r="H113">
            <v>60</v>
          </cell>
        </row>
        <row r="114">
          <cell r="D114" t="str">
            <v>HS0142</v>
          </cell>
          <cell r="E114" t="str">
            <v>WEDDING DRESS #1</v>
          </cell>
          <cell r="F114">
            <v>1</v>
          </cell>
          <cell r="G114">
            <v>15</v>
          </cell>
          <cell r="H114">
            <v>20</v>
          </cell>
        </row>
        <row r="115">
          <cell r="D115" t="str">
            <v>HS0145</v>
          </cell>
          <cell r="E115" t="str">
            <v>WORKING UNIFORM</v>
          </cell>
          <cell r="F115">
            <v>8</v>
          </cell>
          <cell r="G115">
            <v>40</v>
          </cell>
          <cell r="H115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CDA0-CA59-409A-84AA-8E886B57DE1B}">
  <dimension ref="A1:N110"/>
  <sheetViews>
    <sheetView tabSelected="1" topLeftCell="B86" workbookViewId="0">
      <selection activeCell="J103" sqref="J103"/>
    </sheetView>
  </sheetViews>
  <sheetFormatPr defaultRowHeight="14.5" x14ac:dyDescent="0.35"/>
  <cols>
    <col min="1" max="2" width="37.90625" customWidth="1"/>
    <col min="3" max="3" width="9.36328125" style="8" bestFit="1" customWidth="1"/>
    <col min="5" max="5" width="9.36328125" bestFit="1" customWidth="1"/>
    <col min="6" max="6" width="15" bestFit="1" customWidth="1"/>
    <col min="7" max="7" width="9.36328125" bestFit="1" customWidth="1"/>
    <col min="9" max="9" width="16.453125" bestFit="1" customWidth="1"/>
    <col min="14" max="14" width="34.1796875" bestFit="1" customWidth="1"/>
  </cols>
  <sheetData>
    <row r="1" spans="1:7" x14ac:dyDescent="0.35">
      <c r="A1" t="s">
        <v>167</v>
      </c>
      <c r="B1" t="s">
        <v>168</v>
      </c>
      <c r="C1" s="8" t="s">
        <v>169</v>
      </c>
      <c r="D1" t="s">
        <v>170</v>
      </c>
      <c r="E1" t="s">
        <v>171</v>
      </c>
      <c r="F1" t="s">
        <v>166</v>
      </c>
      <c r="G1" t="s">
        <v>172</v>
      </c>
    </row>
    <row r="2" spans="1:7" x14ac:dyDescent="0.35">
      <c r="A2" s="1" t="s">
        <v>83</v>
      </c>
      <c r="B2" s="1" t="s">
        <v>0</v>
      </c>
      <c r="C2" s="9">
        <v>35</v>
      </c>
      <c r="D2" s="2">
        <v>119.94</v>
      </c>
      <c r="E2" s="3">
        <v>4197.7299999999996</v>
      </c>
      <c r="F2">
        <f>VLOOKUP(B2,'[1]01'!$D$10:$H$115,5,FALSE)</f>
        <v>80</v>
      </c>
      <c r="G2" s="6">
        <f>D2-F2</f>
        <v>39.94</v>
      </c>
    </row>
    <row r="3" spans="1:7" x14ac:dyDescent="0.35">
      <c r="A3" s="1" t="s">
        <v>84</v>
      </c>
      <c r="B3" s="1" t="s">
        <v>1</v>
      </c>
      <c r="C3" s="9">
        <v>20</v>
      </c>
      <c r="D3" s="2">
        <v>149.54</v>
      </c>
      <c r="E3" s="3">
        <v>2990.81</v>
      </c>
      <c r="F3">
        <f>VLOOKUP(B3,'[1]01'!$D$10:$H$115,5,FALSE)</f>
        <v>110</v>
      </c>
      <c r="G3" s="6">
        <f t="shared" ref="G3:G66" si="0">D3-F3</f>
        <v>39.539999999999992</v>
      </c>
    </row>
    <row r="4" spans="1:7" x14ac:dyDescent="0.35">
      <c r="A4" s="1" t="s">
        <v>85</v>
      </c>
      <c r="B4" s="1" t="s">
        <v>2</v>
      </c>
      <c r="C4" s="9">
        <v>43</v>
      </c>
      <c r="D4" s="2">
        <v>60.06</v>
      </c>
      <c r="E4" s="3">
        <v>2582.65</v>
      </c>
      <c r="F4">
        <f>VLOOKUP(B4,'[1]01'!$D$10:$H$115,5,FALSE)</f>
        <v>20</v>
      </c>
      <c r="G4" s="6">
        <f t="shared" si="0"/>
        <v>40.06</v>
      </c>
    </row>
    <row r="5" spans="1:7" x14ac:dyDescent="0.35">
      <c r="A5" s="1" t="s">
        <v>86</v>
      </c>
      <c r="B5" s="1" t="s">
        <v>3</v>
      </c>
      <c r="C5" s="9">
        <v>1</v>
      </c>
      <c r="D5" s="2">
        <v>148.38</v>
      </c>
      <c r="E5" s="3">
        <v>148.38</v>
      </c>
      <c r="F5">
        <f>VLOOKUP(B5,'[1]01'!$D$10:$H$115,5,FALSE)</f>
        <v>110</v>
      </c>
      <c r="G5" s="6">
        <f t="shared" si="0"/>
        <v>38.379999999999995</v>
      </c>
    </row>
    <row r="6" spans="1:7" x14ac:dyDescent="0.35">
      <c r="A6" s="1" t="s">
        <v>87</v>
      </c>
      <c r="B6" s="1" t="s">
        <v>4</v>
      </c>
      <c r="C6" s="9">
        <v>1</v>
      </c>
      <c r="D6" s="2">
        <v>91.05</v>
      </c>
      <c r="E6" s="3">
        <v>91.05</v>
      </c>
      <c r="F6">
        <f>VLOOKUP(B6,'[1]01'!$D$10:$H$115,5,FALSE)</f>
        <v>50</v>
      </c>
      <c r="G6" s="6">
        <f t="shared" si="0"/>
        <v>41.05</v>
      </c>
    </row>
    <row r="7" spans="1:7" x14ac:dyDescent="0.35">
      <c r="A7" s="1" t="s">
        <v>88</v>
      </c>
      <c r="B7" s="1" t="s">
        <v>5</v>
      </c>
      <c r="C7" s="9">
        <v>1</v>
      </c>
      <c r="D7" s="4"/>
      <c r="E7" s="5"/>
      <c r="F7" t="e">
        <f>VLOOKUP(B7,'[1]01'!$D$10:$H$115,5,FALSE)</f>
        <v>#N/A</v>
      </c>
      <c r="G7" s="6">
        <v>0</v>
      </c>
    </row>
    <row r="8" spans="1:7" x14ac:dyDescent="0.35">
      <c r="A8" s="1" t="s">
        <v>89</v>
      </c>
      <c r="B8" s="1" t="s">
        <v>6</v>
      </c>
      <c r="C8" s="9">
        <v>5</v>
      </c>
      <c r="D8" s="2">
        <v>99.36</v>
      </c>
      <c r="E8" s="3">
        <v>496.82</v>
      </c>
      <c r="F8">
        <f>VLOOKUP(B8,'[1]01'!$D$10:$H$115,5,FALSE)</f>
        <v>60</v>
      </c>
      <c r="G8" s="6">
        <f t="shared" si="0"/>
        <v>39.36</v>
      </c>
    </row>
    <row r="9" spans="1:7" x14ac:dyDescent="0.35">
      <c r="A9" s="1" t="s">
        <v>90</v>
      </c>
      <c r="B9" s="1" t="s">
        <v>7</v>
      </c>
      <c r="C9" s="9">
        <v>59</v>
      </c>
      <c r="D9" s="2">
        <v>71.14</v>
      </c>
      <c r="E9" s="3">
        <v>4197.24</v>
      </c>
      <c r="F9">
        <f>VLOOKUP(B9,'[1]01'!$D$10:$H$115,5,FALSE)</f>
        <v>30</v>
      </c>
      <c r="G9" s="6">
        <f t="shared" si="0"/>
        <v>41.14</v>
      </c>
    </row>
    <row r="10" spans="1:7" x14ac:dyDescent="0.35">
      <c r="A10" s="1" t="s">
        <v>91</v>
      </c>
      <c r="B10" s="1" t="s">
        <v>8</v>
      </c>
      <c r="C10" s="9">
        <v>1</v>
      </c>
      <c r="D10" s="2">
        <v>87.15</v>
      </c>
      <c r="E10" s="3">
        <v>87.15</v>
      </c>
      <c r="F10">
        <f>VLOOKUP(B10,'[1]01'!$D$10:$H$115,5,FALSE)</f>
        <v>40</v>
      </c>
      <c r="G10" s="6">
        <f t="shared" si="0"/>
        <v>47.150000000000006</v>
      </c>
    </row>
    <row r="11" spans="1:7" x14ac:dyDescent="0.35">
      <c r="A11" s="1" t="s">
        <v>92</v>
      </c>
      <c r="B11" s="1" t="s">
        <v>9</v>
      </c>
      <c r="C11" s="9">
        <v>7</v>
      </c>
      <c r="D11" s="2">
        <v>158.88</v>
      </c>
      <c r="E11" s="3">
        <v>1112.1500000000001</v>
      </c>
      <c r="F11">
        <f>VLOOKUP(B11,'[1]01'!$D$10:$H$115,5,FALSE)</f>
        <v>120</v>
      </c>
      <c r="G11" s="6">
        <f t="shared" si="0"/>
        <v>38.879999999999995</v>
      </c>
    </row>
    <row r="12" spans="1:7" x14ac:dyDescent="0.35">
      <c r="A12" s="1" t="s">
        <v>93</v>
      </c>
      <c r="B12" s="1" t="s">
        <v>10</v>
      </c>
      <c r="C12" s="9">
        <v>6</v>
      </c>
      <c r="D12" s="2">
        <v>116.51</v>
      </c>
      <c r="E12" s="3">
        <v>699.03</v>
      </c>
      <c r="F12" t="e">
        <f>VLOOKUP(B12,'[1]01'!$D$10:$H$115,5,FALSE)</f>
        <v>#N/A</v>
      </c>
      <c r="G12" s="6">
        <v>0</v>
      </c>
    </row>
    <row r="13" spans="1:7" x14ac:dyDescent="0.35">
      <c r="A13" s="1" t="s">
        <v>94</v>
      </c>
      <c r="B13" s="1" t="s">
        <v>11</v>
      </c>
      <c r="C13" s="9">
        <v>1</v>
      </c>
      <c r="D13" s="2">
        <v>139.41</v>
      </c>
      <c r="E13" s="3">
        <v>139.41</v>
      </c>
      <c r="F13" t="e">
        <f>VLOOKUP(B13,'[1]01'!$D$10:$H$115,5,FALSE)</f>
        <v>#N/A</v>
      </c>
      <c r="G13" s="6">
        <v>0</v>
      </c>
    </row>
    <row r="14" spans="1:7" x14ac:dyDescent="0.35">
      <c r="A14" s="1" t="s">
        <v>95</v>
      </c>
      <c r="B14" s="1" t="s">
        <v>12</v>
      </c>
      <c r="C14" s="9">
        <v>41</v>
      </c>
      <c r="D14" s="2">
        <v>114.07</v>
      </c>
      <c r="E14" s="3">
        <v>4676.8500000000004</v>
      </c>
      <c r="F14">
        <f>VLOOKUP(B14,'[1]01'!$D$10:$H$115,5,FALSE)</f>
        <v>75</v>
      </c>
      <c r="G14" s="6">
        <f t="shared" si="0"/>
        <v>39.069999999999993</v>
      </c>
    </row>
    <row r="15" spans="1:7" x14ac:dyDescent="0.35">
      <c r="A15" s="1" t="s">
        <v>96</v>
      </c>
      <c r="B15" s="1" t="s">
        <v>13</v>
      </c>
      <c r="C15" s="9">
        <v>2</v>
      </c>
      <c r="D15" s="2">
        <v>97.43</v>
      </c>
      <c r="E15" s="3">
        <v>194.85</v>
      </c>
      <c r="F15">
        <f>VLOOKUP(B15,'[1]01'!$D$10:$H$115,5,FALSE)</f>
        <v>60</v>
      </c>
      <c r="G15" s="6">
        <f t="shared" si="0"/>
        <v>37.430000000000007</v>
      </c>
    </row>
    <row r="16" spans="1:7" x14ac:dyDescent="0.35">
      <c r="A16" s="1" t="s">
        <v>97</v>
      </c>
      <c r="B16" s="1" t="s">
        <v>14</v>
      </c>
      <c r="C16" s="9">
        <v>2</v>
      </c>
      <c r="D16" s="2">
        <v>170.28</v>
      </c>
      <c r="E16" s="3">
        <v>340.55</v>
      </c>
      <c r="F16">
        <f>VLOOKUP(B16,'[1]01'!$D$10:$H$115,5,FALSE)</f>
        <v>130</v>
      </c>
      <c r="G16" s="6">
        <f t="shared" si="0"/>
        <v>40.28</v>
      </c>
    </row>
    <row r="17" spans="1:7" x14ac:dyDescent="0.35">
      <c r="A17" s="1" t="s">
        <v>98</v>
      </c>
      <c r="B17" s="1" t="s">
        <v>15</v>
      </c>
      <c r="C17" s="9">
        <v>100</v>
      </c>
      <c r="D17" s="2">
        <v>108.97</v>
      </c>
      <c r="E17" s="3">
        <v>10897.45</v>
      </c>
      <c r="F17">
        <f>VLOOKUP(B17,'[1]01'!$D$10:$H$115,5,FALSE)</f>
        <v>60</v>
      </c>
      <c r="G17" s="6">
        <f t="shared" si="0"/>
        <v>48.97</v>
      </c>
    </row>
    <row r="18" spans="1:7" x14ac:dyDescent="0.35">
      <c r="A18" s="1" t="s">
        <v>99</v>
      </c>
      <c r="B18" s="1" t="s">
        <v>16</v>
      </c>
      <c r="C18" s="9">
        <v>2</v>
      </c>
      <c r="D18" s="2">
        <v>248.57</v>
      </c>
      <c r="E18" s="3">
        <v>497.13</v>
      </c>
      <c r="F18">
        <f>VLOOKUP(B18,'[1]01'!$D$10:$H$115,5,FALSE)</f>
        <v>210</v>
      </c>
      <c r="G18" s="6">
        <f t="shared" si="0"/>
        <v>38.569999999999993</v>
      </c>
    </row>
    <row r="19" spans="1:7" x14ac:dyDescent="0.35">
      <c r="A19" s="1" t="s">
        <v>100</v>
      </c>
      <c r="B19" s="1" t="s">
        <v>17</v>
      </c>
      <c r="C19" s="9">
        <v>2</v>
      </c>
      <c r="D19" s="2">
        <v>166</v>
      </c>
      <c r="E19" s="3">
        <v>332</v>
      </c>
      <c r="F19" t="e">
        <f>VLOOKUP(B19,'[1]01'!$D$10:$H$115,5,FALSE)</f>
        <v>#N/A</v>
      </c>
      <c r="G19" s="6">
        <v>0</v>
      </c>
    </row>
    <row r="20" spans="1:7" x14ac:dyDescent="0.35">
      <c r="A20" s="1" t="s">
        <v>101</v>
      </c>
      <c r="B20" s="1" t="s">
        <v>18</v>
      </c>
      <c r="C20" s="9">
        <v>12</v>
      </c>
      <c r="D20" s="2">
        <v>69.510000000000005</v>
      </c>
      <c r="E20" s="3">
        <v>834.12</v>
      </c>
      <c r="F20">
        <f>VLOOKUP(B20,'[1]01'!$D$10:$H$115,5,FALSE)</f>
        <v>30</v>
      </c>
      <c r="G20" s="6">
        <f t="shared" si="0"/>
        <v>39.510000000000005</v>
      </c>
    </row>
    <row r="21" spans="1:7" x14ac:dyDescent="0.35">
      <c r="A21" s="1" t="s">
        <v>102</v>
      </c>
      <c r="B21" s="1" t="s">
        <v>19</v>
      </c>
      <c r="C21" s="9">
        <v>24</v>
      </c>
      <c r="D21" s="2">
        <v>139.11000000000001</v>
      </c>
      <c r="E21" s="3">
        <v>3338.59</v>
      </c>
      <c r="F21">
        <f>VLOOKUP(B21,'[1]01'!$D$10:$H$115,5,FALSE)</f>
        <v>100</v>
      </c>
      <c r="G21" s="6">
        <f t="shared" si="0"/>
        <v>39.110000000000014</v>
      </c>
    </row>
    <row r="22" spans="1:7" x14ac:dyDescent="0.35">
      <c r="A22" s="1" t="s">
        <v>103</v>
      </c>
      <c r="B22" s="1" t="s">
        <v>20</v>
      </c>
      <c r="C22" s="9">
        <v>1</v>
      </c>
      <c r="D22" s="2">
        <v>158.54</v>
      </c>
      <c r="E22" s="3">
        <v>158.54</v>
      </c>
      <c r="F22" t="e">
        <f>VLOOKUP(B22,'[1]01'!$D$10:$H$115,5,FALSE)</f>
        <v>#N/A</v>
      </c>
      <c r="G22" s="6">
        <v>0</v>
      </c>
    </row>
    <row r="23" spans="1:7" x14ac:dyDescent="0.35">
      <c r="A23" s="1" t="s">
        <v>104</v>
      </c>
      <c r="B23" s="1" t="s">
        <v>21</v>
      </c>
      <c r="C23" s="9">
        <v>30</v>
      </c>
      <c r="D23" s="2">
        <v>117.55</v>
      </c>
      <c r="E23" s="3">
        <v>3526.5</v>
      </c>
      <c r="F23">
        <f>VLOOKUP(B23,'[1]01'!$D$10:$H$115,5,FALSE)</f>
        <v>60</v>
      </c>
      <c r="G23" s="6">
        <f t="shared" si="0"/>
        <v>57.55</v>
      </c>
    </row>
    <row r="24" spans="1:7" x14ac:dyDescent="0.35">
      <c r="A24" s="1" t="s">
        <v>105</v>
      </c>
      <c r="B24" s="1" t="s">
        <v>22</v>
      </c>
      <c r="C24" s="9">
        <v>1</v>
      </c>
      <c r="D24" s="2">
        <v>51.05</v>
      </c>
      <c r="E24" s="3">
        <v>51.05</v>
      </c>
      <c r="F24">
        <f>VLOOKUP(B24,'[1]01'!$D$10:$H$115,5,FALSE)</f>
        <v>10</v>
      </c>
      <c r="G24" s="6">
        <f t="shared" si="0"/>
        <v>41.05</v>
      </c>
    </row>
    <row r="25" spans="1:7" x14ac:dyDescent="0.35">
      <c r="A25" s="1" t="s">
        <v>106</v>
      </c>
      <c r="B25" s="1" t="s">
        <v>23</v>
      </c>
      <c r="C25" s="9">
        <v>3</v>
      </c>
      <c r="D25" s="2">
        <v>127.99</v>
      </c>
      <c r="E25" s="3">
        <v>383.98</v>
      </c>
      <c r="F25" t="e">
        <f>VLOOKUP(B25,'[1]01'!$D$10:$H$115,5,FALSE)</f>
        <v>#N/A</v>
      </c>
      <c r="G25" s="6">
        <v>0</v>
      </c>
    </row>
    <row r="26" spans="1:7" x14ac:dyDescent="0.35">
      <c r="A26" s="1" t="s">
        <v>107</v>
      </c>
      <c r="B26" s="1" t="s">
        <v>24</v>
      </c>
      <c r="C26" s="9">
        <v>1</v>
      </c>
      <c r="D26" s="2">
        <v>145.77000000000001</v>
      </c>
      <c r="E26" s="3">
        <v>145.77000000000001</v>
      </c>
      <c r="F26" t="e">
        <f>VLOOKUP(B26,'[1]01'!$D$10:$H$115,5,FALSE)</f>
        <v>#N/A</v>
      </c>
      <c r="G26" s="6">
        <v>0</v>
      </c>
    </row>
    <row r="27" spans="1:7" x14ac:dyDescent="0.35">
      <c r="A27" s="1" t="s">
        <v>108</v>
      </c>
      <c r="B27" s="1" t="s">
        <v>25</v>
      </c>
      <c r="C27" s="9">
        <v>1</v>
      </c>
      <c r="D27" s="2">
        <v>68.98</v>
      </c>
      <c r="E27" s="3">
        <v>68.98</v>
      </c>
      <c r="F27">
        <f>VLOOKUP(B27,'[1]01'!$D$10:$H$115,5,FALSE)</f>
        <v>30</v>
      </c>
      <c r="G27" s="6">
        <f t="shared" si="0"/>
        <v>38.980000000000004</v>
      </c>
    </row>
    <row r="28" spans="1:7" x14ac:dyDescent="0.35">
      <c r="A28" s="1" t="s">
        <v>109</v>
      </c>
      <c r="B28" s="1" t="s">
        <v>26</v>
      </c>
      <c r="C28" s="9">
        <v>7</v>
      </c>
      <c r="D28" s="2">
        <v>265.36</v>
      </c>
      <c r="E28" s="3">
        <v>1857.49</v>
      </c>
      <c r="F28">
        <f>VLOOKUP(B28,'[1]01'!$D$10:$H$115,5,FALSE)</f>
        <v>225</v>
      </c>
      <c r="G28" s="6">
        <f t="shared" si="0"/>
        <v>40.360000000000014</v>
      </c>
    </row>
    <row r="29" spans="1:7" x14ac:dyDescent="0.35">
      <c r="A29" s="1" t="s">
        <v>110</v>
      </c>
      <c r="B29" s="1" t="s">
        <v>27</v>
      </c>
      <c r="C29" s="9">
        <v>2</v>
      </c>
      <c r="D29" s="2">
        <v>96.38</v>
      </c>
      <c r="E29" s="3">
        <v>192.75</v>
      </c>
      <c r="F29" t="e">
        <f>VLOOKUP(B29,'[1]01'!$D$10:$H$115,5,FALSE)</f>
        <v>#N/A</v>
      </c>
      <c r="G29" s="6">
        <v>0</v>
      </c>
    </row>
    <row r="30" spans="1:7" x14ac:dyDescent="0.35">
      <c r="A30" s="1" t="s">
        <v>111</v>
      </c>
      <c r="B30" s="1" t="s">
        <v>28</v>
      </c>
      <c r="C30" s="9">
        <v>30</v>
      </c>
      <c r="D30" s="2">
        <v>63.6</v>
      </c>
      <c r="E30" s="3">
        <v>1908.06</v>
      </c>
      <c r="F30">
        <f>VLOOKUP(B30,'[1]01'!$D$10:$H$115,5,FALSE)</f>
        <v>25</v>
      </c>
      <c r="G30" s="6">
        <f t="shared" si="0"/>
        <v>38.6</v>
      </c>
    </row>
    <row r="31" spans="1:7" x14ac:dyDescent="0.35">
      <c r="A31" s="1" t="s">
        <v>112</v>
      </c>
      <c r="B31" s="1" t="s">
        <v>29</v>
      </c>
      <c r="C31" s="9">
        <v>111</v>
      </c>
      <c r="D31" s="2">
        <v>53.97</v>
      </c>
      <c r="E31" s="3">
        <v>5990.32</v>
      </c>
      <c r="F31">
        <f>VLOOKUP(B31,'[1]01'!$D$10:$H$115,5,FALSE)</f>
        <v>15</v>
      </c>
      <c r="G31" s="6">
        <f t="shared" si="0"/>
        <v>38.97</v>
      </c>
    </row>
    <row r="32" spans="1:7" x14ac:dyDescent="0.35">
      <c r="A32" s="1" t="s">
        <v>113</v>
      </c>
      <c r="B32" s="1" t="s">
        <v>30</v>
      </c>
      <c r="C32" s="9">
        <v>49</v>
      </c>
      <c r="D32" s="2">
        <v>74.849999999999994</v>
      </c>
      <c r="E32" s="3">
        <v>3667.83</v>
      </c>
      <c r="F32">
        <f>VLOOKUP(B32,'[1]01'!$D$10:$H$115,5,FALSE)</f>
        <v>35</v>
      </c>
      <c r="G32" s="6">
        <f t="shared" si="0"/>
        <v>39.849999999999994</v>
      </c>
    </row>
    <row r="33" spans="1:7" x14ac:dyDescent="0.35">
      <c r="A33" s="1" t="s">
        <v>114</v>
      </c>
      <c r="B33" s="1" t="s">
        <v>31</v>
      </c>
      <c r="C33" s="9">
        <v>4</v>
      </c>
      <c r="D33" s="2">
        <v>84.9</v>
      </c>
      <c r="E33" s="3">
        <v>339.58</v>
      </c>
      <c r="F33">
        <f>VLOOKUP(B33,'[1]01'!$D$10:$H$115,5,FALSE)</f>
        <v>45</v>
      </c>
      <c r="G33" s="6">
        <f t="shared" si="0"/>
        <v>39.900000000000006</v>
      </c>
    </row>
    <row r="34" spans="1:7" x14ac:dyDescent="0.35">
      <c r="A34" s="1" t="s">
        <v>115</v>
      </c>
      <c r="B34" s="1" t="s">
        <v>32</v>
      </c>
      <c r="C34" s="9">
        <v>10</v>
      </c>
      <c r="D34" s="2">
        <v>73.78</v>
      </c>
      <c r="E34" s="3">
        <v>737.75</v>
      </c>
      <c r="F34">
        <f>VLOOKUP(B34,'[1]01'!$D$10:$H$115,5,FALSE)</f>
        <v>30</v>
      </c>
      <c r="G34" s="6">
        <f t="shared" si="0"/>
        <v>43.78</v>
      </c>
    </row>
    <row r="35" spans="1:7" x14ac:dyDescent="0.35">
      <c r="A35" s="1" t="s">
        <v>116</v>
      </c>
      <c r="B35" s="1" t="s">
        <v>33</v>
      </c>
      <c r="C35" s="9">
        <v>3</v>
      </c>
      <c r="D35" s="2">
        <v>55.15</v>
      </c>
      <c r="E35" s="3">
        <v>165.45</v>
      </c>
      <c r="F35">
        <f>VLOOKUP(B35,'[1]01'!$D$10:$H$115,5,FALSE)</f>
        <v>20</v>
      </c>
      <c r="G35" s="6">
        <f t="shared" si="0"/>
        <v>35.15</v>
      </c>
    </row>
    <row r="36" spans="1:7" x14ac:dyDescent="0.35">
      <c r="A36" s="1" t="s">
        <v>117</v>
      </c>
      <c r="B36" s="1" t="s">
        <v>34</v>
      </c>
      <c r="C36" s="9">
        <v>32</v>
      </c>
      <c r="D36" s="2">
        <v>47.22</v>
      </c>
      <c r="E36" s="3">
        <v>1510.92</v>
      </c>
      <c r="F36">
        <f>VLOOKUP(B36,'[1]01'!$D$10:$H$115,5,FALSE)</f>
        <v>10</v>
      </c>
      <c r="G36" s="6">
        <f t="shared" si="0"/>
        <v>37.22</v>
      </c>
    </row>
    <row r="37" spans="1:7" x14ac:dyDescent="0.35">
      <c r="A37" s="1" t="s">
        <v>118</v>
      </c>
      <c r="B37" s="1" t="s">
        <v>35</v>
      </c>
      <c r="C37" s="9">
        <v>6</v>
      </c>
      <c r="D37" s="2">
        <v>78.010000000000005</v>
      </c>
      <c r="E37" s="3">
        <v>468.05</v>
      </c>
      <c r="F37">
        <f>VLOOKUP(B37,'[1]01'!$D$10:$H$115,5,FALSE)</f>
        <v>40</v>
      </c>
      <c r="G37" s="6">
        <f t="shared" si="0"/>
        <v>38.010000000000005</v>
      </c>
    </row>
    <row r="38" spans="1:7" x14ac:dyDescent="0.35">
      <c r="A38" s="1" t="s">
        <v>119</v>
      </c>
      <c r="B38" s="1" t="s">
        <v>36</v>
      </c>
      <c r="C38" s="9">
        <v>3</v>
      </c>
      <c r="D38" s="2">
        <v>190.02</v>
      </c>
      <c r="E38" s="3">
        <v>570.04999999999995</v>
      </c>
      <c r="F38">
        <f>VLOOKUP(B38,'[1]01'!$D$10:$H$115,5,FALSE)</f>
        <v>150</v>
      </c>
      <c r="G38" s="6">
        <f t="shared" si="0"/>
        <v>40.02000000000001</v>
      </c>
    </row>
    <row r="39" spans="1:7" x14ac:dyDescent="0.35">
      <c r="A39" s="1" t="s">
        <v>120</v>
      </c>
      <c r="B39" s="1" t="s">
        <v>37</v>
      </c>
      <c r="C39" s="9">
        <v>4</v>
      </c>
      <c r="D39" s="2">
        <v>56.24</v>
      </c>
      <c r="E39" s="3">
        <v>224.97</v>
      </c>
      <c r="F39" t="e">
        <f>VLOOKUP(B39,'[1]01'!$D$10:$H$115,5,FALSE)</f>
        <v>#N/A</v>
      </c>
      <c r="G39" s="6">
        <v>0</v>
      </c>
    </row>
    <row r="40" spans="1:7" x14ac:dyDescent="0.35">
      <c r="A40" s="1" t="s">
        <v>121</v>
      </c>
      <c r="B40" s="1" t="s">
        <v>38</v>
      </c>
      <c r="C40" s="9">
        <v>12</v>
      </c>
      <c r="D40" s="2">
        <v>69.33</v>
      </c>
      <c r="E40" s="3">
        <v>831.98</v>
      </c>
      <c r="F40">
        <f>VLOOKUP(B40,'[1]01'!$D$10:$H$115,5,FALSE)</f>
        <v>30</v>
      </c>
      <c r="G40" s="6">
        <f t="shared" si="0"/>
        <v>39.33</v>
      </c>
    </row>
    <row r="41" spans="1:7" x14ac:dyDescent="0.35">
      <c r="A41" s="1" t="s">
        <v>122</v>
      </c>
      <c r="B41" s="1" t="s">
        <v>39</v>
      </c>
      <c r="C41" s="9">
        <v>4</v>
      </c>
      <c r="D41" s="2">
        <v>67.319999999999993</v>
      </c>
      <c r="E41" s="3">
        <v>269.29000000000002</v>
      </c>
      <c r="F41">
        <f>VLOOKUP(B41,'[1]01'!$D$10:$H$115,5,FALSE)</f>
        <v>30</v>
      </c>
      <c r="G41" s="6">
        <f t="shared" si="0"/>
        <v>37.319999999999993</v>
      </c>
    </row>
    <row r="42" spans="1:7" x14ac:dyDescent="0.35">
      <c r="A42" s="1" t="s">
        <v>123</v>
      </c>
      <c r="B42" s="1" t="s">
        <v>40</v>
      </c>
      <c r="C42" s="9">
        <v>43</v>
      </c>
      <c r="D42" s="2">
        <v>98.6</v>
      </c>
      <c r="E42" s="3">
        <v>4239.7700000000004</v>
      </c>
      <c r="F42">
        <f>VLOOKUP(B42,'[1]01'!$D$10:$H$115,5,FALSE)</f>
        <v>60</v>
      </c>
      <c r="G42" s="6">
        <f t="shared" si="0"/>
        <v>38.599999999999994</v>
      </c>
    </row>
    <row r="43" spans="1:7" x14ac:dyDescent="0.35">
      <c r="A43" s="1" t="s">
        <v>124</v>
      </c>
      <c r="B43" s="1" t="s">
        <v>41</v>
      </c>
      <c r="C43" s="9">
        <v>17</v>
      </c>
      <c r="D43" s="2">
        <v>54.67</v>
      </c>
      <c r="E43" s="3">
        <v>929.41</v>
      </c>
      <c r="F43">
        <f>VLOOKUP(B43,'[1]01'!$D$10:$H$115,5,FALSE)</f>
        <v>15</v>
      </c>
      <c r="G43" s="6">
        <f t="shared" si="0"/>
        <v>39.67</v>
      </c>
    </row>
    <row r="44" spans="1:7" x14ac:dyDescent="0.35">
      <c r="A44" s="1" t="s">
        <v>125</v>
      </c>
      <c r="B44" s="1" t="s">
        <v>42</v>
      </c>
      <c r="C44" s="9">
        <v>1</v>
      </c>
      <c r="D44" s="2">
        <v>251.2</v>
      </c>
      <c r="E44" s="3">
        <v>251.2</v>
      </c>
      <c r="F44">
        <f>VLOOKUP(B44,'[1]01'!$D$10:$H$115,5,FALSE)</f>
        <v>213</v>
      </c>
      <c r="G44" s="6">
        <f t="shared" si="0"/>
        <v>38.199999999999989</v>
      </c>
    </row>
    <row r="45" spans="1:7" x14ac:dyDescent="0.35">
      <c r="A45" s="1" t="s">
        <v>126</v>
      </c>
      <c r="B45" s="1" t="s">
        <v>43</v>
      </c>
      <c r="C45" s="9">
        <v>1</v>
      </c>
      <c r="D45" s="2">
        <v>81.05</v>
      </c>
      <c r="E45" s="3">
        <v>81.05</v>
      </c>
      <c r="F45">
        <f>VLOOKUP(B45,'[1]01'!$D$10:$H$115,5,FALSE)</f>
        <v>40</v>
      </c>
      <c r="G45" s="6">
        <f t="shared" si="0"/>
        <v>41.05</v>
      </c>
    </row>
    <row r="46" spans="1:7" x14ac:dyDescent="0.35">
      <c r="A46" s="1" t="s">
        <v>127</v>
      </c>
      <c r="B46" s="1" t="s">
        <v>44</v>
      </c>
      <c r="C46" s="9">
        <v>9</v>
      </c>
      <c r="D46" s="2">
        <v>61.06</v>
      </c>
      <c r="E46" s="3">
        <v>549.54</v>
      </c>
      <c r="F46">
        <f>VLOOKUP(B46,'[1]01'!$D$10:$H$115,5,FALSE)</f>
        <v>20</v>
      </c>
      <c r="G46" s="6">
        <f t="shared" si="0"/>
        <v>41.06</v>
      </c>
    </row>
    <row r="47" spans="1:7" x14ac:dyDescent="0.35">
      <c r="A47" s="1" t="s">
        <v>128</v>
      </c>
      <c r="B47" s="1" t="s">
        <v>45</v>
      </c>
      <c r="C47" s="9">
        <v>6</v>
      </c>
      <c r="D47" s="2">
        <v>117.63</v>
      </c>
      <c r="E47" s="3">
        <v>705.75</v>
      </c>
      <c r="F47">
        <f>VLOOKUP(B47,'[1]01'!$D$10:$H$115,5,FALSE)</f>
        <v>80</v>
      </c>
      <c r="G47" s="6">
        <f t="shared" si="0"/>
        <v>37.629999999999995</v>
      </c>
    </row>
    <row r="48" spans="1:7" x14ac:dyDescent="0.35">
      <c r="A48" s="1" t="s">
        <v>129</v>
      </c>
      <c r="B48" s="1" t="s">
        <v>46</v>
      </c>
      <c r="C48" s="9">
        <v>18</v>
      </c>
      <c r="D48" s="2">
        <v>80.099999999999994</v>
      </c>
      <c r="E48" s="3">
        <v>1441.83</v>
      </c>
      <c r="F48" t="e">
        <f>VLOOKUP(B48,'[1]01'!$D$10:$H$115,5,FALSE)</f>
        <v>#N/A</v>
      </c>
      <c r="G48" s="6">
        <v>0</v>
      </c>
    </row>
    <row r="49" spans="1:7" x14ac:dyDescent="0.35">
      <c r="A49" s="1" t="s">
        <v>130</v>
      </c>
      <c r="B49" s="1" t="s">
        <v>47</v>
      </c>
      <c r="C49" s="9">
        <v>1</v>
      </c>
      <c r="D49" s="2">
        <v>53.25</v>
      </c>
      <c r="E49" s="3">
        <v>53.25</v>
      </c>
      <c r="F49" t="e">
        <f>VLOOKUP(B49,'[1]01'!$D$10:$H$115,5,FALSE)</f>
        <v>#N/A</v>
      </c>
      <c r="G49" s="6">
        <v>0</v>
      </c>
    </row>
    <row r="50" spans="1:7" x14ac:dyDescent="0.35">
      <c r="A50" s="1" t="s">
        <v>131</v>
      </c>
      <c r="B50" s="1" t="s">
        <v>48</v>
      </c>
      <c r="C50" s="9">
        <v>2</v>
      </c>
      <c r="D50" s="2">
        <v>87.57</v>
      </c>
      <c r="E50" s="3">
        <v>175.13</v>
      </c>
      <c r="F50">
        <f>VLOOKUP(B50,'[1]01'!$D$10:$H$115,5,FALSE)</f>
        <v>50</v>
      </c>
      <c r="G50" s="6">
        <f t="shared" si="0"/>
        <v>37.569999999999993</v>
      </c>
    </row>
    <row r="51" spans="1:7" x14ac:dyDescent="0.35">
      <c r="A51" s="1" t="s">
        <v>132</v>
      </c>
      <c r="B51" s="1" t="s">
        <v>49</v>
      </c>
      <c r="C51" s="9">
        <v>6</v>
      </c>
      <c r="D51" s="2">
        <v>99.8</v>
      </c>
      <c r="E51" s="3">
        <v>598.80999999999995</v>
      </c>
      <c r="F51">
        <f>VLOOKUP(B51,'[1]01'!$D$10:$H$115,5,FALSE)</f>
        <v>60</v>
      </c>
      <c r="G51" s="6">
        <f t="shared" si="0"/>
        <v>39.799999999999997</v>
      </c>
    </row>
    <row r="52" spans="1:7" x14ac:dyDescent="0.35">
      <c r="A52" s="1" t="s">
        <v>133</v>
      </c>
      <c r="B52" s="1" t="s">
        <v>50</v>
      </c>
      <c r="C52" s="9">
        <v>53</v>
      </c>
      <c r="D52" s="2">
        <v>106.15</v>
      </c>
      <c r="E52" s="3">
        <v>5626.06</v>
      </c>
      <c r="F52">
        <f>VLOOKUP(B52,'[1]01'!$D$10:$H$115,5,FALSE)</f>
        <v>67</v>
      </c>
      <c r="G52" s="6">
        <f t="shared" si="0"/>
        <v>39.150000000000006</v>
      </c>
    </row>
    <row r="53" spans="1:7" x14ac:dyDescent="0.35">
      <c r="A53" s="1" t="s">
        <v>134</v>
      </c>
      <c r="B53" s="1" t="s">
        <v>51</v>
      </c>
      <c r="C53" s="9">
        <v>72</v>
      </c>
      <c r="D53" s="2">
        <v>69.099999999999994</v>
      </c>
      <c r="E53" s="3">
        <v>4974.88</v>
      </c>
      <c r="F53">
        <f>VLOOKUP(B53,'[1]01'!$D$10:$H$115,5,FALSE)</f>
        <v>30</v>
      </c>
      <c r="G53" s="6">
        <f t="shared" si="0"/>
        <v>39.099999999999994</v>
      </c>
    </row>
    <row r="54" spans="1:7" x14ac:dyDescent="0.35">
      <c r="A54" s="1" t="s">
        <v>135</v>
      </c>
      <c r="B54" s="1" t="s">
        <v>52</v>
      </c>
      <c r="C54" s="9">
        <v>3</v>
      </c>
      <c r="D54" s="2">
        <v>66.95</v>
      </c>
      <c r="E54" s="3">
        <v>200.84</v>
      </c>
      <c r="F54">
        <f>VLOOKUP(B54,'[1]01'!$D$10:$H$115,5,FALSE)</f>
        <v>30</v>
      </c>
      <c r="G54" s="6">
        <f t="shared" si="0"/>
        <v>36.950000000000003</v>
      </c>
    </row>
    <row r="55" spans="1:7" x14ac:dyDescent="0.35">
      <c r="A55" s="1" t="s">
        <v>136</v>
      </c>
      <c r="B55" s="1" t="s">
        <v>53</v>
      </c>
      <c r="C55" s="9">
        <v>1</v>
      </c>
      <c r="D55" s="2">
        <v>88.07</v>
      </c>
      <c r="E55" s="3">
        <v>88.07</v>
      </c>
      <c r="F55" t="e">
        <f>VLOOKUP(B55,'[1]01'!$D$10:$H$115,5,FALSE)</f>
        <v>#N/A</v>
      </c>
      <c r="G55" s="6">
        <v>0</v>
      </c>
    </row>
    <row r="56" spans="1:7" x14ac:dyDescent="0.35">
      <c r="A56" s="1" t="s">
        <v>137</v>
      </c>
      <c r="B56" s="1" t="s">
        <v>54</v>
      </c>
      <c r="C56" s="9">
        <v>3</v>
      </c>
      <c r="D56" s="2">
        <v>58.24</v>
      </c>
      <c r="E56" s="3">
        <v>174.71</v>
      </c>
      <c r="F56">
        <f>VLOOKUP(B56,'[1]01'!$D$10:$H$115,5,FALSE)</f>
        <v>20</v>
      </c>
      <c r="G56" s="6">
        <f t="shared" si="0"/>
        <v>38.24</v>
      </c>
    </row>
    <row r="57" spans="1:7" x14ac:dyDescent="0.35">
      <c r="A57" s="1" t="s">
        <v>138</v>
      </c>
      <c r="B57" s="1" t="s">
        <v>55</v>
      </c>
      <c r="C57" s="9">
        <v>6</v>
      </c>
      <c r="D57" s="2">
        <v>79.75</v>
      </c>
      <c r="E57" s="3">
        <v>478.47</v>
      </c>
      <c r="F57" t="e">
        <f>VLOOKUP(B57,'[1]01'!$D$10:$H$115,5,FALSE)</f>
        <v>#N/A</v>
      </c>
      <c r="G57" s="6">
        <v>0</v>
      </c>
    </row>
    <row r="58" spans="1:7" x14ac:dyDescent="0.35">
      <c r="A58" s="1" t="s">
        <v>139</v>
      </c>
      <c r="B58" s="1" t="s">
        <v>56</v>
      </c>
      <c r="C58" s="9">
        <v>26</v>
      </c>
      <c r="D58" s="2">
        <v>68.75</v>
      </c>
      <c r="E58" s="3">
        <v>1787.46</v>
      </c>
      <c r="F58">
        <f>VLOOKUP(B58,'[1]01'!$D$10:$H$115,5,FALSE)</f>
        <v>30</v>
      </c>
      <c r="G58" s="6">
        <f t="shared" si="0"/>
        <v>38.75</v>
      </c>
    </row>
    <row r="59" spans="1:7" x14ac:dyDescent="0.35">
      <c r="A59" s="1" t="s">
        <v>140</v>
      </c>
      <c r="B59" s="1" t="s">
        <v>57</v>
      </c>
      <c r="C59" s="9">
        <v>6</v>
      </c>
      <c r="D59" s="2">
        <v>121.05</v>
      </c>
      <c r="E59" s="3">
        <v>726.3</v>
      </c>
      <c r="F59">
        <f>VLOOKUP(B59,'[1]01'!$D$10:$H$115,5,FALSE)</f>
        <v>80</v>
      </c>
      <c r="G59" s="6">
        <f t="shared" si="0"/>
        <v>41.05</v>
      </c>
    </row>
    <row r="60" spans="1:7" x14ac:dyDescent="0.35">
      <c r="A60" s="1" t="s">
        <v>141</v>
      </c>
      <c r="B60" s="1" t="s">
        <v>58</v>
      </c>
      <c r="C60" s="9">
        <v>9</v>
      </c>
      <c r="D60" s="2">
        <v>81.06</v>
      </c>
      <c r="E60" s="3">
        <v>729.54</v>
      </c>
      <c r="F60">
        <f>VLOOKUP(B60,'[1]01'!$D$10:$H$115,5,FALSE)</f>
        <v>40</v>
      </c>
      <c r="G60" s="6">
        <f t="shared" si="0"/>
        <v>41.06</v>
      </c>
    </row>
    <row r="61" spans="1:7" x14ac:dyDescent="0.35">
      <c r="A61" s="1" t="s">
        <v>142</v>
      </c>
      <c r="B61" s="1" t="s">
        <v>59</v>
      </c>
      <c r="C61" s="9">
        <v>15</v>
      </c>
      <c r="D61" s="2">
        <v>107.89</v>
      </c>
      <c r="E61" s="3">
        <v>1618.33</v>
      </c>
      <c r="F61">
        <f>VLOOKUP(B61,'[1]01'!$D$10:$H$115,5,FALSE)</f>
        <v>70</v>
      </c>
      <c r="G61" s="6">
        <f t="shared" si="0"/>
        <v>37.89</v>
      </c>
    </row>
    <row r="62" spans="1:7" x14ac:dyDescent="0.35">
      <c r="A62" s="1" t="s">
        <v>143</v>
      </c>
      <c r="B62" s="1" t="s">
        <v>60</v>
      </c>
      <c r="C62" s="9">
        <v>8</v>
      </c>
      <c r="D62" s="2">
        <v>59.81</v>
      </c>
      <c r="E62" s="3">
        <v>478.44</v>
      </c>
      <c r="F62" t="e">
        <f>VLOOKUP(B62,'[1]01'!$D$10:$H$115,5,FALSE)</f>
        <v>#N/A</v>
      </c>
      <c r="G62" s="6">
        <v>0</v>
      </c>
    </row>
    <row r="63" spans="1:7" x14ac:dyDescent="0.35">
      <c r="A63" s="1" t="s">
        <v>144</v>
      </c>
      <c r="B63" s="1" t="s">
        <v>61</v>
      </c>
      <c r="C63" s="9">
        <v>1</v>
      </c>
      <c r="D63" s="2">
        <v>178.67</v>
      </c>
      <c r="E63" s="3">
        <v>178.67</v>
      </c>
      <c r="F63">
        <f>VLOOKUP(B63,'[1]01'!$D$10:$H$115,5,FALSE)</f>
        <v>140</v>
      </c>
      <c r="G63" s="6">
        <f t="shared" si="0"/>
        <v>38.669999999999987</v>
      </c>
    </row>
    <row r="64" spans="1:7" x14ac:dyDescent="0.35">
      <c r="A64" s="1" t="s">
        <v>145</v>
      </c>
      <c r="B64" s="1" t="s">
        <v>62</v>
      </c>
      <c r="C64" s="9">
        <v>4</v>
      </c>
      <c r="D64" s="2">
        <v>87.26</v>
      </c>
      <c r="E64" s="3">
        <v>349.04</v>
      </c>
      <c r="F64">
        <f>VLOOKUP(B64,'[1]01'!$D$10:$H$115,5,FALSE)</f>
        <v>50</v>
      </c>
      <c r="G64" s="6">
        <f t="shared" si="0"/>
        <v>37.260000000000005</v>
      </c>
    </row>
    <row r="65" spans="1:7" x14ac:dyDescent="0.35">
      <c r="A65" s="1" t="s">
        <v>146</v>
      </c>
      <c r="B65" s="1" t="s">
        <v>63</v>
      </c>
      <c r="C65" s="9">
        <v>28</v>
      </c>
      <c r="D65" s="2">
        <v>79.239999999999995</v>
      </c>
      <c r="E65" s="3">
        <v>2218.67</v>
      </c>
      <c r="F65">
        <f>VLOOKUP(B65,'[1]01'!$D$10:$H$115,5,FALSE)</f>
        <v>40</v>
      </c>
      <c r="G65" s="6">
        <f t="shared" si="0"/>
        <v>39.239999999999995</v>
      </c>
    </row>
    <row r="66" spans="1:7" x14ac:dyDescent="0.35">
      <c r="A66" s="1" t="s">
        <v>147</v>
      </c>
      <c r="B66" s="1" t="s">
        <v>64</v>
      </c>
      <c r="C66" s="9">
        <v>3</v>
      </c>
      <c r="D66" s="2">
        <v>240.84</v>
      </c>
      <c r="E66" s="3">
        <v>722.51</v>
      </c>
      <c r="F66" t="e">
        <f>VLOOKUP(B66,'[1]01'!$D$10:$H$115,5,FALSE)</f>
        <v>#N/A</v>
      </c>
      <c r="G66" s="6">
        <v>0</v>
      </c>
    </row>
    <row r="67" spans="1:7" x14ac:dyDescent="0.35">
      <c r="A67" s="1" t="s">
        <v>148</v>
      </c>
      <c r="B67" s="1" t="s">
        <v>65</v>
      </c>
      <c r="C67" s="9">
        <v>2</v>
      </c>
      <c r="D67" s="2">
        <v>84.71</v>
      </c>
      <c r="E67" s="3">
        <v>169.42</v>
      </c>
      <c r="F67">
        <f>VLOOKUP(B67,'[1]01'!$D$10:$H$115,5,FALSE)</f>
        <v>45</v>
      </c>
      <c r="G67" s="6">
        <f t="shared" ref="G67:G84" si="1">D67-F67</f>
        <v>39.709999999999994</v>
      </c>
    </row>
    <row r="68" spans="1:7" x14ac:dyDescent="0.35">
      <c r="A68" s="1" t="s">
        <v>149</v>
      </c>
      <c r="B68" s="1" t="s">
        <v>66</v>
      </c>
      <c r="C68" s="9">
        <v>16</v>
      </c>
      <c r="D68" s="2">
        <v>58.96</v>
      </c>
      <c r="E68" s="3">
        <v>943.34</v>
      </c>
      <c r="F68">
        <f>VLOOKUP(B68,'[1]01'!$D$10:$H$115,5,FALSE)</f>
        <v>20</v>
      </c>
      <c r="G68" s="6">
        <f t="shared" si="1"/>
        <v>38.96</v>
      </c>
    </row>
    <row r="69" spans="1:7" x14ac:dyDescent="0.35">
      <c r="A69" s="1" t="s">
        <v>150</v>
      </c>
      <c r="B69" s="1" t="s">
        <v>67</v>
      </c>
      <c r="C69" s="9">
        <v>1</v>
      </c>
      <c r="D69" s="2">
        <v>138.55000000000001</v>
      </c>
      <c r="E69" s="3">
        <v>138.55000000000001</v>
      </c>
      <c r="F69">
        <f>VLOOKUP(B69,'[1]01'!$D$10:$H$115,5,FALSE)</f>
        <v>100</v>
      </c>
      <c r="G69" s="6">
        <f t="shared" si="1"/>
        <v>38.550000000000011</v>
      </c>
    </row>
    <row r="70" spans="1:7" x14ac:dyDescent="0.35">
      <c r="A70" s="1" t="s">
        <v>151</v>
      </c>
      <c r="B70" s="1" t="s">
        <v>68</v>
      </c>
      <c r="C70" s="9">
        <v>1</v>
      </c>
      <c r="D70" s="2">
        <v>97.42</v>
      </c>
      <c r="E70" s="3">
        <v>97.42</v>
      </c>
      <c r="F70" t="e">
        <f>VLOOKUP(B70,'[1]01'!$D$10:$H$115,5,FALSE)</f>
        <v>#N/A</v>
      </c>
      <c r="G70" s="6">
        <v>0</v>
      </c>
    </row>
    <row r="71" spans="1:7" x14ac:dyDescent="0.35">
      <c r="A71" s="1" t="s">
        <v>152</v>
      </c>
      <c r="B71" s="1" t="s">
        <v>69</v>
      </c>
      <c r="C71" s="9">
        <v>1</v>
      </c>
      <c r="D71" s="2">
        <v>67.06</v>
      </c>
      <c r="E71" s="3">
        <v>67.06</v>
      </c>
      <c r="F71">
        <f>VLOOKUP(B71,'[1]01'!$D$10:$H$115,5,FALSE)</f>
        <v>30</v>
      </c>
      <c r="G71" s="6">
        <f t="shared" si="1"/>
        <v>37.06</v>
      </c>
    </row>
    <row r="72" spans="1:7" x14ac:dyDescent="0.35">
      <c r="A72" s="1" t="s">
        <v>153</v>
      </c>
      <c r="B72" s="1" t="s">
        <v>70</v>
      </c>
      <c r="C72" s="9">
        <v>1</v>
      </c>
      <c r="D72" s="2">
        <v>142.13999999999999</v>
      </c>
      <c r="E72" s="3">
        <v>142.13999999999999</v>
      </c>
      <c r="F72" t="e">
        <f>VLOOKUP(B72,'[1]01'!$D$10:$H$115,5,FALSE)</f>
        <v>#N/A</v>
      </c>
      <c r="G72" s="6">
        <v>0</v>
      </c>
    </row>
    <row r="73" spans="1:7" x14ac:dyDescent="0.35">
      <c r="A73" s="1" t="s">
        <v>154</v>
      </c>
      <c r="B73" s="1" t="s">
        <v>71</v>
      </c>
      <c r="C73" s="9">
        <v>9</v>
      </c>
      <c r="D73" s="2">
        <v>119.07</v>
      </c>
      <c r="E73" s="3">
        <v>1071.5999999999999</v>
      </c>
      <c r="F73">
        <f>VLOOKUP(B73,'[1]01'!$D$10:$H$115,5,FALSE)</f>
        <v>80</v>
      </c>
      <c r="G73" s="6">
        <f t="shared" si="1"/>
        <v>39.069999999999993</v>
      </c>
    </row>
    <row r="74" spans="1:7" x14ac:dyDescent="0.35">
      <c r="A74" s="1" t="s">
        <v>155</v>
      </c>
      <c r="B74" s="1" t="s">
        <v>72</v>
      </c>
      <c r="C74" s="9">
        <v>9</v>
      </c>
      <c r="D74" s="2">
        <v>99.27</v>
      </c>
      <c r="E74" s="3">
        <v>893.41</v>
      </c>
      <c r="F74">
        <f>VLOOKUP(B74,'[1]01'!$D$10:$H$115,5,FALSE)</f>
        <v>60</v>
      </c>
      <c r="G74" s="6">
        <f t="shared" si="1"/>
        <v>39.269999999999996</v>
      </c>
    </row>
    <row r="75" spans="1:7" x14ac:dyDescent="0.35">
      <c r="A75" s="1" t="s">
        <v>156</v>
      </c>
      <c r="B75" s="1" t="s">
        <v>73</v>
      </c>
      <c r="C75" s="9">
        <v>7</v>
      </c>
      <c r="D75" s="2">
        <v>57.56</v>
      </c>
      <c r="E75" s="3">
        <v>402.91</v>
      </c>
      <c r="F75">
        <f>VLOOKUP(B75,'[1]01'!$D$10:$H$115,5,FALSE)</f>
        <v>18</v>
      </c>
      <c r="G75" s="6">
        <f t="shared" si="1"/>
        <v>39.56</v>
      </c>
    </row>
    <row r="76" spans="1:7" x14ac:dyDescent="0.35">
      <c r="A76" s="1" t="s">
        <v>157</v>
      </c>
      <c r="B76" s="1" t="s">
        <v>74</v>
      </c>
      <c r="C76" s="9">
        <v>9</v>
      </c>
      <c r="D76" s="2">
        <v>139.46</v>
      </c>
      <c r="E76" s="3">
        <v>1255.1199999999999</v>
      </c>
      <c r="F76">
        <f>VLOOKUP(B76,'[1]01'!$D$10:$H$115,5,FALSE)</f>
        <v>100</v>
      </c>
      <c r="G76" s="6">
        <f t="shared" si="1"/>
        <v>39.460000000000008</v>
      </c>
    </row>
    <row r="77" spans="1:7" x14ac:dyDescent="0.35">
      <c r="A77" s="1" t="s">
        <v>158</v>
      </c>
      <c r="B77" s="1" t="s">
        <v>75</v>
      </c>
      <c r="C77" s="9">
        <v>5</v>
      </c>
      <c r="D77" s="2">
        <v>179.03</v>
      </c>
      <c r="E77" s="3">
        <v>895.13</v>
      </c>
      <c r="F77">
        <f>VLOOKUP(B77,'[1]01'!$D$10:$H$115,5,FALSE)</f>
        <v>140</v>
      </c>
      <c r="G77" s="6">
        <f t="shared" si="1"/>
        <v>39.03</v>
      </c>
    </row>
    <row r="78" spans="1:7" x14ac:dyDescent="0.35">
      <c r="A78" s="1" t="s">
        <v>159</v>
      </c>
      <c r="B78" s="1" t="s">
        <v>76</v>
      </c>
      <c r="C78" s="9">
        <v>17</v>
      </c>
      <c r="D78" s="2">
        <v>189.17</v>
      </c>
      <c r="E78" s="3">
        <v>3215.97</v>
      </c>
      <c r="F78">
        <f>VLOOKUP(B78,'[1]01'!$D$10:$H$115,5,FALSE)</f>
        <v>150</v>
      </c>
      <c r="G78" s="6">
        <f t="shared" si="1"/>
        <v>39.169999999999987</v>
      </c>
    </row>
    <row r="79" spans="1:7" x14ac:dyDescent="0.35">
      <c r="A79" s="1" t="s">
        <v>160</v>
      </c>
      <c r="B79" s="1" t="s">
        <v>77</v>
      </c>
      <c r="C79" s="9">
        <v>1</v>
      </c>
      <c r="D79" s="2">
        <v>102.91</v>
      </c>
      <c r="E79" s="3">
        <v>102.91</v>
      </c>
      <c r="F79">
        <f>VLOOKUP(B79,'[1]01'!$D$10:$H$115,5,FALSE)</f>
        <v>65</v>
      </c>
      <c r="G79" s="6">
        <f t="shared" si="1"/>
        <v>37.909999999999997</v>
      </c>
    </row>
    <row r="80" spans="1:7" x14ac:dyDescent="0.35">
      <c r="A80" s="1" t="s">
        <v>161</v>
      </c>
      <c r="B80" s="1" t="s">
        <v>78</v>
      </c>
      <c r="C80" s="9">
        <v>5</v>
      </c>
      <c r="D80" s="2">
        <v>99.19</v>
      </c>
      <c r="E80" s="3">
        <v>495.96</v>
      </c>
      <c r="F80">
        <f>VLOOKUP(B80,'[1]01'!$D$10:$H$115,5,FALSE)</f>
        <v>60</v>
      </c>
      <c r="G80" s="6">
        <f t="shared" si="1"/>
        <v>39.19</v>
      </c>
    </row>
    <row r="81" spans="1:14" x14ac:dyDescent="0.35">
      <c r="A81" s="1" t="s">
        <v>162</v>
      </c>
      <c r="B81" s="1" t="s">
        <v>79</v>
      </c>
      <c r="C81" s="9">
        <v>1</v>
      </c>
      <c r="D81" s="2">
        <v>150.5</v>
      </c>
      <c r="E81" s="3">
        <v>150.5</v>
      </c>
      <c r="F81">
        <f>VLOOKUP(B81,'[1]01'!$D$10:$H$115,5,FALSE)</f>
        <v>110</v>
      </c>
      <c r="G81" s="6">
        <f t="shared" si="1"/>
        <v>40.5</v>
      </c>
    </row>
    <row r="82" spans="1:14" x14ac:dyDescent="0.35">
      <c r="A82" s="1" t="s">
        <v>163</v>
      </c>
      <c r="B82" s="1" t="s">
        <v>80</v>
      </c>
      <c r="C82" s="9">
        <v>1</v>
      </c>
      <c r="D82" s="2">
        <v>248.92</v>
      </c>
      <c r="E82" s="3">
        <v>248.92</v>
      </c>
      <c r="F82" t="e">
        <f>VLOOKUP(B82,'[1]01'!$D$10:$H$115,5,FALSE)</f>
        <v>#N/A</v>
      </c>
      <c r="G82" s="6">
        <v>0</v>
      </c>
    </row>
    <row r="83" spans="1:14" x14ac:dyDescent="0.35">
      <c r="A83" s="1" t="s">
        <v>164</v>
      </c>
      <c r="B83" s="1" t="s">
        <v>81</v>
      </c>
      <c r="C83" s="9">
        <v>10</v>
      </c>
      <c r="D83" s="2">
        <v>59.59</v>
      </c>
      <c r="E83" s="3">
        <v>595.91999999999996</v>
      </c>
      <c r="F83">
        <f>VLOOKUP(B83,'[1]01'!$D$10:$H$115,5,FALSE)</f>
        <v>20</v>
      </c>
      <c r="G83" s="6">
        <f t="shared" si="1"/>
        <v>39.590000000000003</v>
      </c>
    </row>
    <row r="84" spans="1:14" x14ac:dyDescent="0.35">
      <c r="A84" s="1" t="s">
        <v>165</v>
      </c>
      <c r="B84" s="1" t="s">
        <v>82</v>
      </c>
      <c r="C84" s="9">
        <v>9</v>
      </c>
      <c r="D84" s="2">
        <v>69.37</v>
      </c>
      <c r="E84" s="3">
        <v>624.29</v>
      </c>
      <c r="F84">
        <f>VLOOKUP(B84,'[1]01'!$D$10:$H$115,5,FALSE)</f>
        <v>30</v>
      </c>
      <c r="G84" s="6">
        <f t="shared" si="1"/>
        <v>39.370000000000005</v>
      </c>
    </row>
    <row r="85" spans="1:14" x14ac:dyDescent="0.35">
      <c r="E85" s="10">
        <f>SUM(E2:E84)</f>
        <v>101811.57000000002</v>
      </c>
      <c r="G85" s="6">
        <f>SUM(G2:G84)</f>
        <v>2581.8700000000003</v>
      </c>
    </row>
    <row r="89" spans="1:14" x14ac:dyDescent="0.35">
      <c r="B89" t="s">
        <v>173</v>
      </c>
      <c r="C89" s="6">
        <v>442659.21</v>
      </c>
      <c r="F89" t="s">
        <v>177</v>
      </c>
      <c r="G89" s="6">
        <v>442631.48</v>
      </c>
      <c r="I89" s="15">
        <f>G89-C89</f>
        <v>-27.730000000039581</v>
      </c>
    </row>
    <row r="90" spans="1:14" x14ac:dyDescent="0.35">
      <c r="B90" t="s">
        <v>174</v>
      </c>
      <c r="C90" s="7">
        <v>492062.7</v>
      </c>
      <c r="F90" t="s">
        <v>175</v>
      </c>
      <c r="G90" s="13">
        <v>550034.44999999995</v>
      </c>
      <c r="I90" s="11">
        <f>G90-C90</f>
        <v>57971.749999999942</v>
      </c>
      <c r="J90" t="s">
        <v>184</v>
      </c>
      <c r="N90" t="s">
        <v>188</v>
      </c>
    </row>
    <row r="91" spans="1:14" x14ac:dyDescent="0.35">
      <c r="A91" s="16"/>
      <c r="B91" s="16"/>
      <c r="C91" s="17">
        <f>C90-C89</f>
        <v>49403.489999999991</v>
      </c>
      <c r="D91" s="16"/>
      <c r="E91" s="16"/>
      <c r="F91" s="16"/>
      <c r="G91" s="17">
        <f>G90-G89</f>
        <v>107402.96999999997</v>
      </c>
      <c r="H91" s="16"/>
      <c r="I91" s="17">
        <f>G91-C91</f>
        <v>57999.479999999981</v>
      </c>
    </row>
    <row r="92" spans="1:14" x14ac:dyDescent="0.35">
      <c r="I92" s="15">
        <f>I91-I90</f>
        <v>27.730000000039581</v>
      </c>
      <c r="K92" t="s">
        <v>183</v>
      </c>
    </row>
    <row r="93" spans="1:14" x14ac:dyDescent="0.35">
      <c r="E93" t="s">
        <v>182</v>
      </c>
    </row>
    <row r="94" spans="1:14" x14ac:dyDescent="0.35">
      <c r="I94" t="s">
        <v>181</v>
      </c>
    </row>
    <row r="95" spans="1:14" x14ac:dyDescent="0.35">
      <c r="B95" t="s">
        <v>176</v>
      </c>
      <c r="C95" s="7">
        <v>41170</v>
      </c>
    </row>
    <row r="96" spans="1:14" x14ac:dyDescent="0.35">
      <c r="B96" t="s">
        <v>178</v>
      </c>
      <c r="C96" s="8">
        <f>16400+400+3000</f>
        <v>19800</v>
      </c>
    </row>
    <row r="97" spans="3:9" x14ac:dyDescent="0.35">
      <c r="C97" s="12">
        <f>SUM(C95:C96)</f>
        <v>60970</v>
      </c>
      <c r="E97" s="18" t="s">
        <v>179</v>
      </c>
    </row>
    <row r="98" spans="3:9" x14ac:dyDescent="0.35">
      <c r="E98" s="14" t="s">
        <v>180</v>
      </c>
    </row>
    <row r="99" spans="3:9" x14ac:dyDescent="0.35">
      <c r="I99" s="6">
        <f>I90-C97</f>
        <v>-2998.2500000000582</v>
      </c>
    </row>
    <row r="100" spans="3:9" x14ac:dyDescent="0.35">
      <c r="I100">
        <v>3000</v>
      </c>
    </row>
    <row r="101" spans="3:9" x14ac:dyDescent="0.35">
      <c r="I101" s="6">
        <f>SUM(I99:I100)</f>
        <v>1.7499999999417923</v>
      </c>
    </row>
    <row r="102" spans="3:9" x14ac:dyDescent="0.35">
      <c r="E102" t="s">
        <v>185</v>
      </c>
      <c r="F102">
        <v>159782.47</v>
      </c>
    </row>
    <row r="103" spans="3:9" x14ac:dyDescent="0.35">
      <c r="E103" t="s">
        <v>186</v>
      </c>
      <c r="F103">
        <v>162753.84</v>
      </c>
    </row>
    <row r="104" spans="3:9" x14ac:dyDescent="0.35">
      <c r="E104" t="s">
        <v>187</v>
      </c>
      <c r="F104">
        <f>F102-F103</f>
        <v>-2971.3699999999953</v>
      </c>
      <c r="G104" t="s">
        <v>189</v>
      </c>
    </row>
    <row r="108" spans="3:9" x14ac:dyDescent="0.35">
      <c r="F108" t="s">
        <v>190</v>
      </c>
    </row>
    <row r="109" spans="3:9" x14ac:dyDescent="0.35">
      <c r="F109" t="s">
        <v>191</v>
      </c>
    </row>
    <row r="110" spans="3:9" x14ac:dyDescent="0.35">
      <c r="F110" t="s">
        <v>192</v>
      </c>
      <c r="I11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Dakik</dc:creator>
  <cp:lastModifiedBy>Hassan Dakik</cp:lastModifiedBy>
  <dcterms:created xsi:type="dcterms:W3CDTF">2025-12-24T10:32:50Z</dcterms:created>
  <dcterms:modified xsi:type="dcterms:W3CDTF">2025-12-24T12:28:52Z</dcterms:modified>
</cp:coreProperties>
</file>